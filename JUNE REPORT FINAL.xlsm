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MONTHLY REPORTS 2025\"/>
    </mc:Choice>
  </mc:AlternateContent>
  <xr:revisionPtr revIDLastSave="0" documentId="13_ncr:1_{9D5CECEA-2565-4E02-A731-4BEED6AC34C6}" xr6:coauthVersionLast="47" xr6:coauthVersionMax="47" xr10:uidLastSave="{00000000-0000-0000-0000-000000000000}"/>
  <bookViews>
    <workbookView xWindow="-120" yWindow="-120" windowWidth="29040" windowHeight="15840" activeTab="5" xr2:uid="{40FB9B9E-EA16-47AE-A48F-40EBD8E5BDFC}"/>
  </bookViews>
  <sheets>
    <sheet name="Balance Forwarded" sheetId="1" r:id="rId1"/>
    <sheet name="Pledge" sheetId="4" r:id="rId2"/>
    <sheet name="Mid-Week Service" sheetId="2" r:id="rId3"/>
    <sheet name="Sunday Service" sheetId="3" r:id="rId4"/>
    <sheet name="Sunday Service Expenses" sheetId="6" r:id="rId5"/>
    <sheet name="END OF MONTH REPORT" sheetId="8" r:id="rId6"/>
    <sheet name="Debt Details" sheetId="10" state="very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" i="6" l="1"/>
  <c r="O12" i="6"/>
  <c r="L13" i="6"/>
  <c r="L12" i="6"/>
  <c r="D3" i="1"/>
  <c r="I11" i="10" l="1"/>
  <c r="G9" i="8" l="1"/>
  <c r="AD7" i="8"/>
  <c r="M19" i="8"/>
  <c r="S11" i="6" l="1"/>
  <c r="L11" i="6"/>
  <c r="L14" i="6"/>
  <c r="T4" i="4"/>
  <c r="T9" i="4" s="1"/>
  <c r="T5" i="4"/>
  <c r="T6" i="4"/>
  <c r="T7" i="4"/>
  <c r="T8" i="4"/>
  <c r="T3" i="4"/>
  <c r="S9" i="2"/>
  <c r="S4" i="2"/>
  <c r="S5" i="2"/>
  <c r="S6" i="2"/>
  <c r="S7" i="2"/>
  <c r="S8" i="2"/>
  <c r="S3" i="2"/>
  <c r="R10" i="2"/>
  <c r="Q10" i="2"/>
  <c r="P10" i="2"/>
  <c r="O10" i="2"/>
  <c r="S9" i="4"/>
  <c r="R9" i="4"/>
  <c r="Q9" i="4"/>
  <c r="P9" i="4"/>
  <c r="O9" i="4"/>
  <c r="S7" i="6"/>
  <c r="L6" i="6"/>
  <c r="L7" i="6"/>
  <c r="L8" i="6"/>
  <c r="L9" i="6"/>
  <c r="L10" i="6"/>
  <c r="L5" i="6"/>
  <c r="D14" i="4"/>
  <c r="E14" i="4"/>
  <c r="F14" i="4"/>
  <c r="G14" i="4"/>
  <c r="C14" i="4"/>
  <c r="U11" i="8"/>
  <c r="S11" i="8"/>
  <c r="W10" i="8"/>
  <c r="W9" i="8"/>
  <c r="W8" i="8"/>
  <c r="W7" i="8"/>
  <c r="W6" i="8"/>
  <c r="M11" i="8"/>
  <c r="K11" i="8"/>
  <c r="O9" i="8"/>
  <c r="O8" i="8"/>
  <c r="O7" i="8"/>
  <c r="O6" i="8"/>
  <c r="E11" i="8"/>
  <c r="L23" i="8" s="1"/>
  <c r="C11" i="8"/>
  <c r="J23" i="8" s="1"/>
  <c r="G10" i="8"/>
  <c r="G8" i="8"/>
  <c r="G7" i="8"/>
  <c r="G6" i="8"/>
  <c r="R29" i="4"/>
  <c r="J15" i="6"/>
  <c r="S10" i="6"/>
  <c r="S9" i="6"/>
  <c r="S8" i="6"/>
  <c r="P30" i="4"/>
  <c r="N30" i="4"/>
  <c r="R28" i="4"/>
  <c r="R27" i="4"/>
  <c r="R26" i="4"/>
  <c r="R25" i="4"/>
  <c r="H15" i="6"/>
  <c r="I15" i="6"/>
  <c r="K15" i="6"/>
  <c r="F32" i="3"/>
  <c r="F37" i="3"/>
  <c r="D19" i="2"/>
  <c r="B19" i="2"/>
  <c r="F17" i="2"/>
  <c r="F16" i="2"/>
  <c r="F15" i="2"/>
  <c r="F14" i="2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8" i="3"/>
  <c r="E37" i="3"/>
  <c r="G37" i="3"/>
  <c r="H37" i="3"/>
  <c r="D37" i="3"/>
  <c r="G15" i="6"/>
  <c r="F6" i="2"/>
  <c r="S12" i="6" l="1"/>
  <c r="F39" i="3"/>
  <c r="O11" i="8"/>
  <c r="G11" i="8"/>
  <c r="W11" i="8"/>
  <c r="S10" i="2"/>
  <c r="F19" i="2"/>
  <c r="R30" i="4"/>
  <c r="L15" i="6"/>
  <c r="I37" i="3"/>
  <c r="H5" i="4"/>
  <c r="H6" i="4"/>
  <c r="H7" i="4"/>
  <c r="H8" i="4"/>
  <c r="H9" i="4"/>
  <c r="H10" i="4"/>
  <c r="H11" i="4"/>
  <c r="H13" i="4"/>
  <c r="H14" i="4"/>
  <c r="H4" i="4"/>
  <c r="E32" i="3"/>
  <c r="E39" i="3" s="1"/>
  <c r="G32" i="3"/>
  <c r="G39" i="3" s="1"/>
  <c r="H32" i="3"/>
  <c r="H39" i="3" s="1"/>
  <c r="D32" i="3"/>
  <c r="D39" i="3" s="1"/>
  <c r="Z11" i="8" l="1"/>
  <c r="N23" i="8"/>
  <c r="I32" i="3"/>
  <c r="I39" i="3" s="1"/>
</calcChain>
</file>

<file path=xl/sharedStrings.xml><?xml version="1.0" encoding="utf-8"?>
<sst xmlns="http://schemas.openxmlformats.org/spreadsheetml/2006/main" count="138" uniqueCount="70">
  <si>
    <t>NAMES</t>
  </si>
  <si>
    <t>TOTAL</t>
  </si>
  <si>
    <t>DATE</t>
  </si>
  <si>
    <t>EXPENSES</t>
  </si>
  <si>
    <t>Date</t>
  </si>
  <si>
    <t xml:space="preserve"> </t>
  </si>
  <si>
    <t>AM</t>
  </si>
  <si>
    <t>PM</t>
  </si>
  <si>
    <t xml:space="preserve">          </t>
  </si>
  <si>
    <t xml:space="preserve">             </t>
  </si>
  <si>
    <t>LORNA</t>
  </si>
  <si>
    <t>THESS</t>
  </si>
  <si>
    <t>MARC</t>
  </si>
  <si>
    <t>ARLYN</t>
  </si>
  <si>
    <t>MAIRA</t>
  </si>
  <si>
    <t>MICA</t>
  </si>
  <si>
    <t>BATTERY</t>
  </si>
  <si>
    <t>YREGE</t>
  </si>
  <si>
    <t>ANABEL</t>
  </si>
  <si>
    <t>PREV WEEK KULANG</t>
  </si>
  <si>
    <t>TIN</t>
  </si>
  <si>
    <t>MAY RENT</t>
  </si>
  <si>
    <t>DANBELLA</t>
  </si>
  <si>
    <t>MAMA SHE</t>
  </si>
  <si>
    <t>PROFIT AND  LOSS STATEMENT</t>
  </si>
  <si>
    <t>MID-WEEK SERVICE</t>
  </si>
  <si>
    <t>MID-WEEK</t>
  </si>
  <si>
    <t>OFFERING</t>
  </si>
  <si>
    <t>NANAY NENITA</t>
  </si>
  <si>
    <t>TITHES AND OFFERING</t>
  </si>
  <si>
    <t>SUNDAY SERVICE</t>
  </si>
  <si>
    <t>TITHES</t>
  </si>
  <si>
    <t>SUNDAY OFFERING</t>
  </si>
  <si>
    <t>PROFIT AND LOSS STATEMENT</t>
  </si>
  <si>
    <t>PLEDGE</t>
  </si>
  <si>
    <t>TITHES OF TITHES</t>
  </si>
  <si>
    <t>GROSS PROFIT</t>
  </si>
  <si>
    <t>LOVE GIFT (DAD)</t>
  </si>
  <si>
    <t>UMPUKAN</t>
  </si>
  <si>
    <t>AM &amp; PM PREACHER</t>
  </si>
  <si>
    <t>SANTA SENA</t>
  </si>
  <si>
    <t>NET PROFIT</t>
  </si>
  <si>
    <t>LOVE GIFT MAMA SHE</t>
  </si>
  <si>
    <t>LOVE GIFT ANABEL</t>
  </si>
  <si>
    <t>BLESSY</t>
  </si>
  <si>
    <t>SHEKINAH</t>
  </si>
  <si>
    <t>JAYVI</t>
  </si>
  <si>
    <t>LOVE GIFT MEAN</t>
  </si>
  <si>
    <t>MAY FORWARDED BALANCE</t>
  </si>
  <si>
    <t>TITHES &amp; OFFERING</t>
  </si>
  <si>
    <r>
      <rPr>
        <b/>
        <sz val="22"/>
        <color theme="1"/>
        <rFont val="Aptos Narrow"/>
        <family val="2"/>
        <scheme val="minor"/>
      </rPr>
      <t>OVERALL</t>
    </r>
    <r>
      <rPr>
        <b/>
        <sz val="15"/>
        <color theme="1"/>
        <rFont val="Aptos Narrow"/>
        <family val="2"/>
        <scheme val="minor"/>
      </rPr>
      <t xml:space="preserve"> </t>
    </r>
    <r>
      <rPr>
        <b/>
        <sz val="12"/>
        <color theme="1"/>
        <rFont val="Aptos Narrow"/>
        <family val="2"/>
        <scheme val="minor"/>
      </rPr>
      <t>(Balance Forwarded, Sunday, Mid-week &amp; Pledge)</t>
    </r>
  </si>
  <si>
    <t>NEED TO PAY URGENT (UMPUKAN MONEY)</t>
  </si>
  <si>
    <t>MERALCO BILL MARCH (UTANG)</t>
  </si>
  <si>
    <t>CHURCH RENT APRIL (UTANG)</t>
  </si>
  <si>
    <t>MERALCO BILL APRIL (UTANG)</t>
  </si>
  <si>
    <t>GO TO SUNDAY SERVICE EXPENSES</t>
  </si>
  <si>
    <t>GO BACK TO END OF MONTH REPORT</t>
  </si>
  <si>
    <t>GO TO END OF MONTH REPORT</t>
  </si>
  <si>
    <t>LOVE GIFT DAD</t>
  </si>
  <si>
    <t>MARK</t>
  </si>
  <si>
    <t>MAMI JOVS</t>
  </si>
  <si>
    <t>ERAH FAB</t>
  </si>
  <si>
    <t>KINAH</t>
  </si>
  <si>
    <t>RR &amp; AICA</t>
  </si>
  <si>
    <t>OTHER EXPENSES</t>
  </si>
  <si>
    <t>ABYSS</t>
  </si>
  <si>
    <t>SHYNE</t>
  </si>
  <si>
    <t>ELECTRIC FAN ELESI/ REPAIR</t>
  </si>
  <si>
    <t>ABITO NI PTR. JAY R (DAD)</t>
  </si>
  <si>
    <t>UPA PTRA JOVY (MOMMY)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</si>
</sst>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2">
    <xf numFmtId="0" fontId="0" fillId="0" borderId="0" xfId="0"/>
    <xf numFmtId="0" fontId="1" fillId="0" borderId="8" xfId="0" applyFont="1" applyBorder="1"/>
    <xf numFmtId="0" fontId="0" fillId="0" borderId="1" xfId="0" applyBorder="1" applyAlignment="1">
      <alignment horizontal="center"/>
    </xf>
    <xf numFmtId="17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2" fillId="0" borderId="0" xfId="0" applyFont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17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3" fillId="0" borderId="0" xfId="0" applyFont="1"/>
    <xf numFmtId="0" fontId="1" fillId="0" borderId="0" xfId="0" applyFont="1"/>
    <xf numFmtId="0" fontId="0" fillId="2" borderId="1" xfId="0" applyFill="1" applyBorder="1" applyAlignment="1">
      <alignment horizontal="center"/>
    </xf>
    <xf numFmtId="16" fontId="0" fillId="0" borderId="0" xfId="0" applyNumberFormat="1" applyAlignment="1">
      <alignment horizontal="center"/>
    </xf>
    <xf numFmtId="16" fontId="0" fillId="0" borderId="1" xfId="0" applyNumberForma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11" fillId="0" borderId="1" xfId="0" applyFont="1" applyBorder="1" applyAlignment="1">
      <alignment horizontal="center"/>
    </xf>
    <xf numFmtId="17" fontId="11" fillId="0" borderId="0" xfId="0" applyNumberFormat="1" applyFont="1" applyAlignment="1">
      <alignment horizontal="center"/>
    </xf>
    <xf numFmtId="0" fontId="9" fillId="0" borderId="0" xfId="0" applyFont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2" borderId="0" xfId="0" applyFill="1"/>
    <xf numFmtId="0" fontId="10" fillId="5" borderId="1" xfId="0" applyFont="1" applyFill="1" applyBorder="1"/>
    <xf numFmtId="0" fontId="16" fillId="0" borderId="6" xfId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8" fillId="3" borderId="0" xfId="1" applyFont="1" applyFill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8" fillId="0" borderId="8" xfId="1" applyFont="1" applyBorder="1" applyAlignment="1">
      <alignment horizontal="center"/>
    </xf>
    <xf numFmtId="0" fontId="18" fillId="0" borderId="9" xfId="1" applyFont="1" applyBorder="1" applyAlignment="1">
      <alignment horizontal="center"/>
    </xf>
    <xf numFmtId="0" fontId="18" fillId="0" borderId="10" xfId="1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18" fillId="0" borderId="1" xfId="1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8" fillId="4" borderId="0" xfId="1" applyFont="1" applyFill="1" applyAlignment="1">
      <alignment horizontal="center"/>
    </xf>
    <xf numFmtId="17" fontId="11" fillId="0" borderId="0" xfId="0" applyNumberFormat="1" applyFont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6" fillId="0" borderId="8" xfId="1" applyBorder="1" applyAlignment="1">
      <alignment horizontal="center"/>
    </xf>
    <xf numFmtId="0" fontId="16" fillId="0" borderId="9" xfId="1" applyBorder="1" applyAlignment="1">
      <alignment horizontal="center"/>
    </xf>
    <xf numFmtId="0" fontId="16" fillId="0" borderId="10" xfId="1" applyBorder="1" applyAlignment="1">
      <alignment horizontal="center"/>
    </xf>
    <xf numFmtId="0" fontId="16" fillId="0" borderId="1" xfId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16" fillId="0" borderId="5" xfId="1" applyBorder="1" applyAlignment="1">
      <alignment horizontal="center"/>
    </xf>
    <xf numFmtId="0" fontId="16" fillId="0" borderId="7" xfId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0" fillId="0" borderId="0" xfId="0" applyFont="1" applyAlignment="1">
      <alignment horizontal="center"/>
    </xf>
    <xf numFmtId="16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288637</xdr:colOff>
      <xdr:row>14</xdr:row>
      <xdr:rowOff>155041</xdr:rowOff>
    </xdr:from>
    <xdr:ext cx="184730" cy="937693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477599D-7171-A47B-5673-67BB8D6F449D}"/>
            </a:ext>
          </a:extLst>
        </xdr:cNvPr>
        <xdr:cNvSpPr/>
      </xdr:nvSpPr>
      <xdr:spPr>
        <a:xfrm>
          <a:off x="5775037" y="2822041"/>
          <a:ext cx="184730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514350</xdr:colOff>
      <xdr:row>6</xdr:row>
      <xdr:rowOff>133349</xdr:rowOff>
    </xdr:from>
    <xdr:ext cx="1381125" cy="295275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8C8BA3B6-27C1-42D2-A698-0019CA9428E3}"/>
            </a:ext>
          </a:extLst>
        </xdr:cNvPr>
        <xdr:cNvSpPr/>
      </xdr:nvSpPr>
      <xdr:spPr>
        <a:xfrm>
          <a:off x="514350" y="1276349"/>
          <a:ext cx="1381125" cy="2952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en-US" sz="72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17</xdr:row>
      <xdr:rowOff>0</xdr:rowOff>
    </xdr:from>
    <xdr:to>
      <xdr:col>12</xdr:col>
      <xdr:colOff>9525</xdr:colOff>
      <xdr:row>18</xdr:row>
      <xdr:rowOff>0</xdr:rowOff>
    </xdr:to>
    <xdr:sp macro="[0]!GoToDebtDetails" textlink="">
      <xdr:nvSpPr>
        <xdr:cNvPr id="2" name="Rectangle 1">
          <a:extLst>
            <a:ext uri="{FF2B5EF4-FFF2-40B4-BE49-F238E27FC236}">
              <a16:creationId xmlns:a16="http://schemas.microsoft.com/office/drawing/2014/main" id="{A8C516D3-F172-5F0D-EF6F-19B56C30450C}"/>
            </a:ext>
          </a:extLst>
        </xdr:cNvPr>
        <xdr:cNvSpPr/>
      </xdr:nvSpPr>
      <xdr:spPr>
        <a:xfrm>
          <a:off x="6096000" y="4695825"/>
          <a:ext cx="1428750" cy="2571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i="0" u="sng">
              <a:solidFill>
                <a:srgbClr val="FF0000"/>
              </a:solidFill>
            </a:rPr>
            <a:t>UMPUKAN</a:t>
          </a:r>
          <a:r>
            <a:rPr lang="en-US" sz="1100" b="0" i="0" u="sng" baseline="0">
              <a:solidFill>
                <a:srgbClr val="FF0000"/>
              </a:solidFill>
            </a:rPr>
            <a:t> (UTANG)</a:t>
          </a:r>
          <a:endParaRPr lang="en-US" sz="1100" b="0" i="0" u="sng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574F3-8B04-434A-86CD-605BD337482D}">
  <sheetPr codeName="Sheet1">
    <tabColor theme="2" tint="-0.249977111117893"/>
  </sheetPr>
  <dimension ref="A3:M8"/>
  <sheetViews>
    <sheetView workbookViewId="0">
      <selection activeCell="I6" sqref="I6:M6"/>
    </sheetView>
  </sheetViews>
  <sheetFormatPr defaultRowHeight="15" x14ac:dyDescent="0.25"/>
  <sheetData>
    <row r="3" spans="1:13" ht="18.75" x14ac:dyDescent="0.3">
      <c r="D3" s="30" t="str">
        <f>HYPERLINK("C:\Users\Administrator\Documents\MONTHLY REPORTS 2025\MAY REPORT.xlsm", "Balance Forwarded from May")</f>
        <v>Balance Forwarded from May</v>
      </c>
      <c r="E3" s="31"/>
      <c r="F3" s="31"/>
      <c r="G3" s="31"/>
      <c r="H3" s="31"/>
    </row>
    <row r="4" spans="1:13" x14ac:dyDescent="0.25">
      <c r="A4" s="36" t="s">
        <v>34</v>
      </c>
      <c r="B4" s="37"/>
      <c r="C4" s="37"/>
      <c r="D4" s="38"/>
      <c r="E4" s="42" t="s">
        <v>35</v>
      </c>
      <c r="F4" s="37"/>
      <c r="G4" s="37"/>
      <c r="H4" s="38"/>
      <c r="I4" s="36" t="s">
        <v>29</v>
      </c>
      <c r="J4" s="43"/>
      <c r="K4" s="43"/>
      <c r="L4" s="43"/>
      <c r="M4" s="44"/>
    </row>
    <row r="5" spans="1:13" x14ac:dyDescent="0.25">
      <c r="A5" s="39"/>
      <c r="B5" s="40"/>
      <c r="C5" s="40"/>
      <c r="D5" s="41"/>
      <c r="E5" s="39"/>
      <c r="F5" s="40"/>
      <c r="G5" s="40"/>
      <c r="H5" s="41"/>
      <c r="I5" s="45"/>
      <c r="J5" s="46"/>
      <c r="K5" s="46"/>
      <c r="L5" s="46"/>
      <c r="M5" s="47"/>
    </row>
    <row r="6" spans="1:13" x14ac:dyDescent="0.25">
      <c r="A6" s="33">
        <v>3000</v>
      </c>
      <c r="B6" s="34"/>
      <c r="C6" s="34"/>
      <c r="D6" s="35"/>
      <c r="E6" s="33">
        <v>684</v>
      </c>
      <c r="F6" s="34"/>
      <c r="G6" s="34"/>
      <c r="H6" s="35"/>
      <c r="I6" s="33">
        <v>1658</v>
      </c>
      <c r="J6" s="34"/>
      <c r="K6" s="34"/>
      <c r="L6" s="34"/>
      <c r="M6" s="35"/>
    </row>
    <row r="8" spans="1:13" x14ac:dyDescent="0.25">
      <c r="I8" s="32" t="s">
        <v>57</v>
      </c>
      <c r="J8" s="32"/>
      <c r="K8" s="32"/>
      <c r="L8" s="32"/>
    </row>
  </sheetData>
  <sheetProtection algorithmName="SHA-512" hashValue="HN7f7cAVFHHwo+d8xTOMgUlfuszbNiTyaXOdC8Vuk/NdFCaOScnfixq+GdJsRf/ryC4sAi33BqeeJoYMXKwAaw==" saltValue="k5Bi5iecWGl/UQfDnRzOHw==" spinCount="100000" sheet="1" objects="1" scenarios="1"/>
  <mergeCells count="8">
    <mergeCell ref="D3:H3"/>
    <mergeCell ref="I8:L8"/>
    <mergeCell ref="I6:M6"/>
    <mergeCell ref="E6:H6"/>
    <mergeCell ref="A6:D6"/>
    <mergeCell ref="A4:D5"/>
    <mergeCell ref="E4:H5"/>
    <mergeCell ref="I4:M5"/>
  </mergeCells>
  <hyperlinks>
    <hyperlink ref="I8:L8" location="'END OF MONTH REPORT'!A1" display="GO TO END OF MONTH REPORT" xr:uid="{4FA8CCD4-69BE-4BC3-B65B-41902038A84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8F84F-D3FB-4FB9-A822-8F01FB370BA3}">
  <sheetPr codeName="Sheet2">
    <tabColor theme="5" tint="0.59999389629810485"/>
  </sheetPr>
  <dimension ref="B1:X30"/>
  <sheetViews>
    <sheetView workbookViewId="0">
      <selection activeCell="N27" sqref="N27:O27"/>
    </sheetView>
  </sheetViews>
  <sheetFormatPr defaultRowHeight="15" x14ac:dyDescent="0.25"/>
  <cols>
    <col min="2" max="2" width="10.42578125" customWidth="1"/>
  </cols>
  <sheetData>
    <row r="1" spans="2:24" x14ac:dyDescent="0.25">
      <c r="B1" s="36" t="s">
        <v>34</v>
      </c>
      <c r="C1" s="37"/>
      <c r="D1" s="37"/>
      <c r="E1" s="37"/>
      <c r="F1" s="37"/>
      <c r="G1" s="38"/>
    </row>
    <row r="2" spans="2:24" ht="15.75" x14ac:dyDescent="0.25">
      <c r="B2" s="39"/>
      <c r="C2" s="40"/>
      <c r="D2" s="40"/>
      <c r="E2" s="40"/>
      <c r="F2" s="40"/>
      <c r="G2" s="41"/>
      <c r="M2" s="61" t="s">
        <v>3</v>
      </c>
      <c r="N2" s="53"/>
      <c r="O2" s="19">
        <v>45809</v>
      </c>
      <c r="P2" s="19">
        <v>45816</v>
      </c>
      <c r="Q2" s="19">
        <v>45823</v>
      </c>
      <c r="R2" s="19">
        <v>45830</v>
      </c>
      <c r="S2" s="19">
        <v>45837</v>
      </c>
      <c r="T2" s="4" t="s">
        <v>1</v>
      </c>
    </row>
    <row r="3" spans="2:24" x14ac:dyDescent="0.25">
      <c r="B3" s="5" t="s">
        <v>0</v>
      </c>
      <c r="C3" s="18">
        <v>45809</v>
      </c>
      <c r="D3" s="19">
        <v>45816</v>
      </c>
      <c r="E3" s="19">
        <v>45823</v>
      </c>
      <c r="F3" s="19">
        <v>45830</v>
      </c>
      <c r="G3" s="19">
        <v>45837</v>
      </c>
      <c r="H3" s="4" t="s">
        <v>1</v>
      </c>
      <c r="M3" s="33"/>
      <c r="N3" s="35"/>
      <c r="O3" s="2"/>
      <c r="P3" s="2"/>
      <c r="Q3" s="2"/>
      <c r="R3" s="2"/>
      <c r="S3" s="2"/>
      <c r="T3" s="2">
        <f>SUM(O3:S3)</f>
        <v>0</v>
      </c>
    </row>
    <row r="4" spans="2:24" x14ac:dyDescent="0.25">
      <c r="B4" s="8" t="s">
        <v>10</v>
      </c>
      <c r="C4" s="17">
        <v>300</v>
      </c>
      <c r="D4" s="2"/>
      <c r="E4" s="2"/>
      <c r="F4" s="2"/>
      <c r="G4" s="2"/>
      <c r="H4" s="4">
        <f>SUM(C4:G4)</f>
        <v>300</v>
      </c>
      <c r="M4" s="33"/>
      <c r="N4" s="35"/>
      <c r="O4" s="2"/>
      <c r="P4" s="2"/>
      <c r="Q4" s="2"/>
      <c r="R4" s="2"/>
      <c r="S4" s="2"/>
      <c r="T4" s="2">
        <f t="shared" ref="T4:T8" si="0">SUM(O4:S4)</f>
        <v>0</v>
      </c>
    </row>
    <row r="5" spans="2:24" x14ac:dyDescent="0.25">
      <c r="B5" s="2" t="s">
        <v>17</v>
      </c>
      <c r="C5" s="2"/>
      <c r="D5" s="2"/>
      <c r="E5" s="2">
        <v>1000</v>
      </c>
      <c r="F5" s="2"/>
      <c r="G5" s="2"/>
      <c r="H5" s="4">
        <f t="shared" ref="H5:H14" si="1">SUM(C5:G5)</f>
        <v>1000</v>
      </c>
      <c r="J5" s="12"/>
      <c r="K5" s="48"/>
      <c r="L5" s="48"/>
      <c r="M5" s="33"/>
      <c r="N5" s="35"/>
      <c r="O5" s="2"/>
      <c r="P5" s="2"/>
      <c r="Q5" s="2"/>
      <c r="R5" s="2"/>
      <c r="S5" s="2"/>
      <c r="T5" s="2">
        <f t="shared" si="0"/>
        <v>0</v>
      </c>
    </row>
    <row r="6" spans="2:24" x14ac:dyDescent="0.25">
      <c r="B6" s="2" t="s">
        <v>18</v>
      </c>
      <c r="C6" s="2"/>
      <c r="D6" s="2"/>
      <c r="E6" s="2">
        <v>500</v>
      </c>
      <c r="F6" s="2"/>
      <c r="G6" s="2"/>
      <c r="H6" s="4">
        <f t="shared" si="1"/>
        <v>500</v>
      </c>
      <c r="J6" s="12"/>
      <c r="K6" s="48"/>
      <c r="L6" s="48"/>
      <c r="M6" s="33"/>
      <c r="N6" s="35"/>
      <c r="O6" s="2"/>
      <c r="P6" s="2"/>
      <c r="Q6" s="17"/>
      <c r="R6" s="17"/>
      <c r="S6" s="2"/>
      <c r="T6" s="2">
        <f t="shared" si="0"/>
        <v>0</v>
      </c>
    </row>
    <row r="7" spans="2:24" x14ac:dyDescent="0.25">
      <c r="B7" s="2" t="s">
        <v>11</v>
      </c>
      <c r="C7" s="2"/>
      <c r="D7" s="17">
        <v>500</v>
      </c>
      <c r="E7" s="2"/>
      <c r="F7" s="2"/>
      <c r="G7" s="2"/>
      <c r="H7" s="4">
        <f t="shared" si="1"/>
        <v>500</v>
      </c>
      <c r="J7" s="12"/>
      <c r="K7" s="48"/>
      <c r="L7" s="48"/>
      <c r="M7" s="33"/>
      <c r="N7" s="35"/>
      <c r="O7" s="2"/>
      <c r="P7" s="2"/>
      <c r="Q7" s="17"/>
      <c r="R7" s="17"/>
      <c r="S7" s="2"/>
      <c r="T7" s="2">
        <f t="shared" si="0"/>
        <v>0</v>
      </c>
    </row>
    <row r="8" spans="2:24" x14ac:dyDescent="0.25">
      <c r="B8" s="2" t="s">
        <v>59</v>
      </c>
      <c r="C8" s="2"/>
      <c r="D8" s="2"/>
      <c r="E8" s="2"/>
      <c r="F8" s="2">
        <v>500</v>
      </c>
      <c r="G8" s="2"/>
      <c r="H8" s="4">
        <f t="shared" si="1"/>
        <v>500</v>
      </c>
      <c r="J8" s="12"/>
      <c r="K8" s="48"/>
      <c r="L8" s="48"/>
      <c r="M8" s="33"/>
      <c r="N8" s="35"/>
      <c r="O8" s="2"/>
      <c r="P8" s="2"/>
      <c r="Q8" s="2"/>
      <c r="R8" s="2"/>
      <c r="S8" s="2"/>
      <c r="T8" s="2">
        <f t="shared" si="0"/>
        <v>0</v>
      </c>
    </row>
    <row r="9" spans="2:24" x14ac:dyDescent="0.25">
      <c r="B9" s="2" t="s">
        <v>60</v>
      </c>
      <c r="C9" s="2"/>
      <c r="D9" s="2"/>
      <c r="E9" s="2"/>
      <c r="F9" s="2">
        <v>500</v>
      </c>
      <c r="G9" s="2"/>
      <c r="H9" s="4">
        <f t="shared" si="1"/>
        <v>500</v>
      </c>
      <c r="M9" s="33" t="s">
        <v>1</v>
      </c>
      <c r="N9" s="35"/>
      <c r="O9" s="2">
        <f t="shared" ref="O9:T9" si="2">SUM(O3:O8)</f>
        <v>0</v>
      </c>
      <c r="P9" s="2">
        <f t="shared" si="2"/>
        <v>0</v>
      </c>
      <c r="Q9" s="2">
        <f t="shared" si="2"/>
        <v>0</v>
      </c>
      <c r="R9" s="2">
        <f t="shared" si="2"/>
        <v>0</v>
      </c>
      <c r="S9" s="2">
        <f t="shared" si="2"/>
        <v>0</v>
      </c>
      <c r="T9" s="4">
        <f t="shared" si="2"/>
        <v>0</v>
      </c>
    </row>
    <row r="10" spans="2:24" x14ac:dyDescent="0.25">
      <c r="B10" s="2" t="s">
        <v>62</v>
      </c>
      <c r="C10" s="2"/>
      <c r="D10" s="2"/>
      <c r="E10" s="2">
        <v>100</v>
      </c>
      <c r="F10" s="2"/>
      <c r="G10" s="2"/>
      <c r="H10" s="4">
        <f t="shared" si="1"/>
        <v>100</v>
      </c>
      <c r="K10" s="49"/>
      <c r="L10" s="49"/>
      <c r="M10" s="49"/>
      <c r="N10" s="49"/>
      <c r="O10" s="49"/>
      <c r="P10" s="49"/>
    </row>
    <row r="11" spans="2:24" x14ac:dyDescent="0.25">
      <c r="B11" s="2"/>
      <c r="C11" s="2"/>
      <c r="D11" s="2"/>
      <c r="E11" s="2"/>
      <c r="F11" s="2"/>
      <c r="G11" s="2"/>
      <c r="H11" s="4">
        <f t="shared" si="1"/>
        <v>0</v>
      </c>
    </row>
    <row r="12" spans="2:24" x14ac:dyDescent="0.25">
      <c r="B12" s="2"/>
      <c r="C12" s="2"/>
      <c r="D12" s="2"/>
      <c r="E12" s="2"/>
      <c r="F12" s="2"/>
      <c r="G12" s="2"/>
      <c r="H12" s="4">
        <v>0</v>
      </c>
    </row>
    <row r="13" spans="2:24" x14ac:dyDescent="0.25">
      <c r="B13" s="2"/>
      <c r="C13" s="2"/>
      <c r="D13" s="2"/>
      <c r="E13" s="2"/>
      <c r="F13" s="2"/>
      <c r="G13" s="2"/>
      <c r="H13" s="4">
        <f t="shared" si="1"/>
        <v>0</v>
      </c>
    </row>
    <row r="14" spans="2:24" ht="18.75" x14ac:dyDescent="0.3">
      <c r="B14" s="22" t="s">
        <v>1</v>
      </c>
      <c r="C14" s="2">
        <f>SUM(C4:C13)</f>
        <v>300</v>
      </c>
      <c r="D14" s="2">
        <f>SUM(D4:D13)</f>
        <v>500</v>
      </c>
      <c r="E14" s="2">
        <f>SUM(E4:E13)</f>
        <v>1600</v>
      </c>
      <c r="F14" s="2">
        <f>SUM(F4:F13)</f>
        <v>1000</v>
      </c>
      <c r="G14" s="2">
        <f>SUM(G4:G13)</f>
        <v>0</v>
      </c>
      <c r="H14" s="4">
        <f t="shared" si="1"/>
        <v>3400</v>
      </c>
    </row>
    <row r="15" spans="2:24" x14ac:dyDescent="0.25">
      <c r="T15" s="18"/>
      <c r="U15" s="18"/>
      <c r="V15" s="18"/>
      <c r="W15" s="18"/>
      <c r="X15" s="18"/>
    </row>
    <row r="17" spans="2:19" x14ac:dyDescent="0.25">
      <c r="H17" s="4"/>
    </row>
    <row r="22" spans="2:19" x14ac:dyDescent="0.25">
      <c r="N22" s="54" t="s">
        <v>33</v>
      </c>
      <c r="O22" s="55"/>
      <c r="P22" s="55"/>
      <c r="Q22" s="55"/>
      <c r="R22" s="55"/>
      <c r="S22" s="56"/>
    </row>
    <row r="23" spans="2:19" x14ac:dyDescent="0.25">
      <c r="N23" s="52" t="s">
        <v>34</v>
      </c>
      <c r="O23" s="53"/>
      <c r="P23" s="53"/>
      <c r="Q23" s="53"/>
      <c r="R23" s="53"/>
      <c r="S23" s="53"/>
    </row>
    <row r="24" spans="2:19" x14ac:dyDescent="0.25">
      <c r="B24" s="7"/>
      <c r="C24" s="14"/>
      <c r="D24" s="15"/>
      <c r="E24" s="62"/>
      <c r="F24" s="62"/>
      <c r="G24" s="62"/>
      <c r="H24" s="14"/>
      <c r="I24" s="15"/>
      <c r="M24" s="2" t="s">
        <v>2</v>
      </c>
      <c r="N24" s="59" t="s">
        <v>36</v>
      </c>
      <c r="O24" s="60"/>
      <c r="P24" s="57" t="s">
        <v>3</v>
      </c>
      <c r="Q24" s="58"/>
      <c r="R24" s="57" t="s">
        <v>41</v>
      </c>
      <c r="S24" s="58"/>
    </row>
    <row r="25" spans="2:19" x14ac:dyDescent="0.25">
      <c r="B25" s="12"/>
      <c r="C25" s="48"/>
      <c r="D25" s="48"/>
      <c r="E25" s="48"/>
      <c r="F25" s="48"/>
      <c r="G25" s="48"/>
      <c r="H25" s="49"/>
      <c r="I25" s="49"/>
      <c r="M25" s="19">
        <v>45809</v>
      </c>
      <c r="N25" s="33">
        <v>300</v>
      </c>
      <c r="O25" s="35"/>
      <c r="P25" s="33"/>
      <c r="Q25" s="35"/>
      <c r="R25" s="33">
        <f>N25-P25</f>
        <v>300</v>
      </c>
      <c r="S25" s="35"/>
    </row>
    <row r="26" spans="2:19" x14ac:dyDescent="0.25">
      <c r="B26" s="12"/>
      <c r="C26" s="48"/>
      <c r="D26" s="48"/>
      <c r="E26" s="48"/>
      <c r="F26" s="48"/>
      <c r="G26" s="48"/>
      <c r="H26" s="49"/>
      <c r="I26" s="49"/>
      <c r="M26" s="19">
        <v>45816</v>
      </c>
      <c r="N26" s="33">
        <v>500</v>
      </c>
      <c r="O26" s="35"/>
      <c r="P26" s="33"/>
      <c r="Q26" s="35"/>
      <c r="R26" s="33">
        <f t="shared" ref="R26:R28" si="3">N26-P26</f>
        <v>500</v>
      </c>
      <c r="S26" s="35"/>
    </row>
    <row r="27" spans="2:19" x14ac:dyDescent="0.25">
      <c r="B27" s="12"/>
      <c r="C27" s="48"/>
      <c r="D27" s="48"/>
      <c r="E27" s="48"/>
      <c r="F27" s="48"/>
      <c r="G27" s="48"/>
      <c r="H27" s="49"/>
      <c r="I27" s="49"/>
      <c r="J27" t="s">
        <v>8</v>
      </c>
      <c r="M27" s="19">
        <v>45823</v>
      </c>
      <c r="N27" s="33">
        <v>1600</v>
      </c>
      <c r="O27" s="35"/>
      <c r="P27" s="33"/>
      <c r="Q27" s="35"/>
      <c r="R27" s="33">
        <f t="shared" si="3"/>
        <v>1600</v>
      </c>
      <c r="S27" s="35"/>
    </row>
    <row r="28" spans="2:19" x14ac:dyDescent="0.25">
      <c r="B28" s="12"/>
      <c r="C28" s="48"/>
      <c r="D28" s="48"/>
      <c r="E28" s="48"/>
      <c r="F28" s="48"/>
      <c r="G28" s="48"/>
      <c r="H28" s="49"/>
      <c r="I28" s="49"/>
      <c r="J28" t="s">
        <v>9</v>
      </c>
      <c r="M28" s="19">
        <v>45830</v>
      </c>
      <c r="N28" s="33">
        <v>1000</v>
      </c>
      <c r="O28" s="35"/>
      <c r="P28" s="33"/>
      <c r="Q28" s="35"/>
      <c r="R28" s="33">
        <f t="shared" si="3"/>
        <v>1000</v>
      </c>
      <c r="S28" s="35"/>
    </row>
    <row r="29" spans="2:19" x14ac:dyDescent="0.25">
      <c r="H29" s="16"/>
      <c r="M29" s="19">
        <v>45837</v>
      </c>
      <c r="N29" s="53"/>
      <c r="O29" s="53"/>
      <c r="P29" s="53"/>
      <c r="Q29" s="53"/>
      <c r="R29" s="33">
        <f t="shared" ref="R29" si="4">N29-P29</f>
        <v>0</v>
      </c>
      <c r="S29" s="35"/>
    </row>
    <row r="30" spans="2:19" x14ac:dyDescent="0.25">
      <c r="C30" s="49"/>
      <c r="D30" s="49"/>
      <c r="E30" s="49"/>
      <c r="F30" s="49"/>
      <c r="G30" s="49"/>
      <c r="H30" s="49"/>
      <c r="I30" s="49"/>
      <c r="M30" s="2" t="s">
        <v>1</v>
      </c>
      <c r="N30" s="50">
        <f>SUM(N25:O28)</f>
        <v>3400</v>
      </c>
      <c r="O30" s="51"/>
      <c r="P30" s="50">
        <f>SUM(P25:Q28)</f>
        <v>0</v>
      </c>
      <c r="Q30" s="51"/>
      <c r="R30" s="50">
        <f>SUM(R25:S29)</f>
        <v>3400</v>
      </c>
      <c r="S30" s="51"/>
    </row>
  </sheetData>
  <sheetProtection algorithmName="SHA-512" hashValue="BVz48tjR0U1CR33teL84MmU6wSTt2CSVZk0vc9/s7X14i7R07BeWs+MIieFqmaBpABirrCJItVcXqlpyoGVtyw==" saltValue="GrJyW2jKaHPxCBz/QtOI5A==" spinCount="100000" sheet="1" objects="1" scenarios="1"/>
  <mergeCells count="55">
    <mergeCell ref="B1:G2"/>
    <mergeCell ref="N24:O24"/>
    <mergeCell ref="R24:S24"/>
    <mergeCell ref="M2:N2"/>
    <mergeCell ref="M3:N3"/>
    <mergeCell ref="M4:N4"/>
    <mergeCell ref="M9:N9"/>
    <mergeCell ref="E24:G24"/>
    <mergeCell ref="K10:L10"/>
    <mergeCell ref="M10:N10"/>
    <mergeCell ref="O10:P10"/>
    <mergeCell ref="K5:L5"/>
    <mergeCell ref="K6:L6"/>
    <mergeCell ref="K7:L7"/>
    <mergeCell ref="K8:L8"/>
    <mergeCell ref="M5:N5"/>
    <mergeCell ref="N30:O30"/>
    <mergeCell ref="P30:Q30"/>
    <mergeCell ref="R30:S30"/>
    <mergeCell ref="N23:S23"/>
    <mergeCell ref="N22:S22"/>
    <mergeCell ref="R29:S29"/>
    <mergeCell ref="P29:Q29"/>
    <mergeCell ref="N29:O29"/>
    <mergeCell ref="N27:O27"/>
    <mergeCell ref="P27:Q27"/>
    <mergeCell ref="R27:S27"/>
    <mergeCell ref="N28:O28"/>
    <mergeCell ref="P28:Q28"/>
    <mergeCell ref="R28:S28"/>
    <mergeCell ref="P24:Q24"/>
    <mergeCell ref="N25:O25"/>
    <mergeCell ref="P25:Q25"/>
    <mergeCell ref="R25:S25"/>
    <mergeCell ref="N26:O26"/>
    <mergeCell ref="P26:Q26"/>
    <mergeCell ref="R26:S26"/>
    <mergeCell ref="C26:D26"/>
    <mergeCell ref="E26:G26"/>
    <mergeCell ref="H26:I26"/>
    <mergeCell ref="C30:D30"/>
    <mergeCell ref="E30:G30"/>
    <mergeCell ref="H30:I30"/>
    <mergeCell ref="C27:D27"/>
    <mergeCell ref="E27:G27"/>
    <mergeCell ref="H27:I27"/>
    <mergeCell ref="C28:D28"/>
    <mergeCell ref="E28:G28"/>
    <mergeCell ref="H28:I28"/>
    <mergeCell ref="M6:N6"/>
    <mergeCell ref="M7:N7"/>
    <mergeCell ref="M8:N8"/>
    <mergeCell ref="C25:D25"/>
    <mergeCell ref="E25:G25"/>
    <mergeCell ref="H25:I25"/>
  </mergeCells>
  <hyperlinks>
    <hyperlink ref="N22:S22" location="'END OF MONTH REPORT'!A1" display="PROFIT AND LOSS STATEMENT" xr:uid="{EBB0CB4C-2798-439D-818C-A9A006B5CC12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6381E-A5D1-4ACC-82BE-D9107CF04080}">
  <sheetPr codeName="Sheet3">
    <tabColor rgb="FF92D050"/>
  </sheetPr>
  <dimension ref="A2:S19"/>
  <sheetViews>
    <sheetView workbookViewId="0">
      <selection activeCell="B11" sqref="B11:G11"/>
    </sheetView>
  </sheetViews>
  <sheetFormatPr defaultRowHeight="15" x14ac:dyDescent="0.25"/>
  <cols>
    <col min="14" max="14" width="10.28515625" customWidth="1"/>
  </cols>
  <sheetData>
    <row r="2" spans="1:19" ht="15.75" x14ac:dyDescent="0.25">
      <c r="B2" s="66" t="s">
        <v>26</v>
      </c>
      <c r="C2" s="67"/>
      <c r="D2" s="67"/>
      <c r="E2" s="68"/>
      <c r="M2" s="61" t="s">
        <v>3</v>
      </c>
      <c r="N2" s="53"/>
      <c r="O2" s="19">
        <v>45813</v>
      </c>
      <c r="P2" s="19">
        <v>45820</v>
      </c>
      <c r="Q2" s="19">
        <v>45827</v>
      </c>
      <c r="R2" s="19">
        <v>45834</v>
      </c>
      <c r="S2" s="4" t="s">
        <v>1</v>
      </c>
    </row>
    <row r="3" spans="1:19" x14ac:dyDescent="0.25">
      <c r="B3" s="69"/>
      <c r="C3" s="70"/>
      <c r="D3" s="70"/>
      <c r="E3" s="71"/>
      <c r="M3" s="33" t="s">
        <v>42</v>
      </c>
      <c r="N3" s="35"/>
      <c r="O3" s="2">
        <v>100</v>
      </c>
      <c r="P3" s="2"/>
      <c r="Q3" s="2"/>
      <c r="R3" s="2"/>
      <c r="S3" s="4">
        <f>SUM(O3:R3)</f>
        <v>100</v>
      </c>
    </row>
    <row r="4" spans="1:19" x14ac:dyDescent="0.25">
      <c r="B4" s="52" t="s">
        <v>27</v>
      </c>
      <c r="C4" s="52"/>
      <c r="D4" s="52"/>
      <c r="E4" s="52"/>
      <c r="H4" s="7"/>
      <c r="I4" s="14"/>
      <c r="J4" s="15"/>
      <c r="K4" s="62"/>
      <c r="L4" s="62"/>
      <c r="M4" s="33" t="s">
        <v>43</v>
      </c>
      <c r="N4" s="35"/>
      <c r="O4" s="2"/>
      <c r="P4" s="2">
        <v>100</v>
      </c>
      <c r="Q4" s="2"/>
      <c r="R4" s="2"/>
      <c r="S4" s="4">
        <f t="shared" ref="S4:S9" si="0">SUM(O4:R4)</f>
        <v>100</v>
      </c>
    </row>
    <row r="5" spans="1:19" x14ac:dyDescent="0.25">
      <c r="A5" s="5" t="s">
        <v>4</v>
      </c>
      <c r="B5" s="19">
        <v>45813</v>
      </c>
      <c r="C5" s="19">
        <v>45820</v>
      </c>
      <c r="D5" s="19">
        <v>45827</v>
      </c>
      <c r="E5" s="19">
        <v>45834</v>
      </c>
      <c r="F5" s="4" t="s">
        <v>1</v>
      </c>
      <c r="H5" s="12"/>
      <c r="I5" s="48"/>
      <c r="J5" s="48"/>
      <c r="K5" s="48"/>
      <c r="L5" s="48"/>
      <c r="M5" s="33" t="s">
        <v>47</v>
      </c>
      <c r="N5" s="35"/>
      <c r="O5" s="2"/>
      <c r="P5" s="2"/>
      <c r="Q5" s="2">
        <v>100</v>
      </c>
      <c r="R5" s="2"/>
      <c r="S5" s="4">
        <f t="shared" si="0"/>
        <v>100</v>
      </c>
    </row>
    <row r="6" spans="1:19" x14ac:dyDescent="0.25">
      <c r="B6" s="2">
        <v>192</v>
      </c>
      <c r="C6" s="2">
        <v>202</v>
      </c>
      <c r="D6" s="2">
        <v>282</v>
      </c>
      <c r="E6" s="11"/>
      <c r="F6" s="4">
        <f>B6+C6+D6+E6</f>
        <v>676</v>
      </c>
      <c r="H6" s="12"/>
      <c r="I6" s="48"/>
      <c r="J6" s="48"/>
      <c r="K6" s="48"/>
      <c r="L6" s="48"/>
      <c r="M6" s="33" t="s">
        <v>58</v>
      </c>
      <c r="N6" s="35"/>
      <c r="O6" s="2"/>
      <c r="P6" s="2"/>
      <c r="Q6" s="2"/>
      <c r="R6" s="2">
        <v>200</v>
      </c>
      <c r="S6" s="4">
        <f t="shared" si="0"/>
        <v>200</v>
      </c>
    </row>
    <row r="7" spans="1:19" x14ac:dyDescent="0.25">
      <c r="H7" s="12"/>
      <c r="I7" s="48"/>
      <c r="J7" s="48"/>
      <c r="K7" s="48"/>
      <c r="L7" s="48"/>
      <c r="M7" s="33"/>
      <c r="N7" s="35"/>
      <c r="O7" s="2"/>
      <c r="P7" s="2"/>
      <c r="Q7" s="17"/>
      <c r="R7" s="17"/>
      <c r="S7" s="4">
        <f t="shared" si="0"/>
        <v>0</v>
      </c>
    </row>
    <row r="8" spans="1:19" x14ac:dyDescent="0.25">
      <c r="H8" s="12"/>
      <c r="I8" s="48"/>
      <c r="J8" s="48"/>
      <c r="K8" s="48"/>
      <c r="L8" s="48"/>
      <c r="M8" s="33"/>
      <c r="N8" s="35"/>
      <c r="O8" s="2"/>
      <c r="P8" s="2"/>
      <c r="Q8" s="17"/>
      <c r="R8" s="17"/>
      <c r="S8" s="4">
        <f t="shared" si="0"/>
        <v>0</v>
      </c>
    </row>
    <row r="9" spans="1:19" x14ac:dyDescent="0.25">
      <c r="M9" s="33"/>
      <c r="N9" s="35"/>
      <c r="O9" s="2"/>
      <c r="P9" s="2"/>
      <c r="Q9" s="2"/>
      <c r="R9" s="2"/>
      <c r="S9" s="4">
        <f t="shared" si="0"/>
        <v>0</v>
      </c>
    </row>
    <row r="10" spans="1:19" x14ac:dyDescent="0.25">
      <c r="I10" s="49"/>
      <c r="J10" s="49"/>
      <c r="K10" s="49"/>
      <c r="L10" s="49"/>
      <c r="M10" s="33" t="s">
        <v>1</v>
      </c>
      <c r="N10" s="35"/>
      <c r="O10" s="2">
        <f>SUM(O3:O9)</f>
        <v>100</v>
      </c>
      <c r="P10" s="2">
        <f t="shared" ref="P10:R10" si="1">SUM(P3:P9)</f>
        <v>100</v>
      </c>
      <c r="Q10" s="2">
        <f t="shared" si="1"/>
        <v>100</v>
      </c>
      <c r="R10" s="2">
        <f t="shared" si="1"/>
        <v>200</v>
      </c>
      <c r="S10" s="2">
        <f>SUM(S3:S9)</f>
        <v>500</v>
      </c>
    </row>
    <row r="11" spans="1:19" x14ac:dyDescent="0.25">
      <c r="B11" s="72" t="s">
        <v>24</v>
      </c>
      <c r="C11" s="72"/>
      <c r="D11" s="72"/>
      <c r="E11" s="72"/>
      <c r="F11" s="72"/>
      <c r="G11" s="72"/>
    </row>
    <row r="12" spans="1:19" x14ac:dyDescent="0.25">
      <c r="B12" s="63" t="s">
        <v>25</v>
      </c>
      <c r="C12" s="64"/>
      <c r="D12" s="64"/>
      <c r="E12" s="64"/>
      <c r="F12" s="64"/>
      <c r="G12" s="65"/>
    </row>
    <row r="13" spans="1:19" x14ac:dyDescent="0.25">
      <c r="A13" s="2" t="s">
        <v>2</v>
      </c>
      <c r="B13" s="59" t="s">
        <v>36</v>
      </c>
      <c r="C13" s="60"/>
      <c r="D13" s="57" t="s">
        <v>3</v>
      </c>
      <c r="E13" s="58"/>
      <c r="F13" s="57" t="s">
        <v>41</v>
      </c>
      <c r="G13" s="58"/>
    </row>
    <row r="14" spans="1:19" x14ac:dyDescent="0.25">
      <c r="A14" s="19">
        <v>45813</v>
      </c>
      <c r="B14" s="33">
        <v>192</v>
      </c>
      <c r="C14" s="35"/>
      <c r="D14" s="33">
        <v>100</v>
      </c>
      <c r="E14" s="35"/>
      <c r="F14" s="50">
        <f>B14-D14</f>
        <v>92</v>
      </c>
      <c r="G14" s="51"/>
    </row>
    <row r="15" spans="1:19" x14ac:dyDescent="0.25">
      <c r="A15" s="19">
        <v>45820</v>
      </c>
      <c r="B15" s="33">
        <v>202</v>
      </c>
      <c r="C15" s="35"/>
      <c r="D15" s="33">
        <v>100</v>
      </c>
      <c r="E15" s="35"/>
      <c r="F15" s="50">
        <f t="shared" ref="F15:F17" si="2">B15-D15</f>
        <v>102</v>
      </c>
      <c r="G15" s="51"/>
    </row>
    <row r="16" spans="1:19" x14ac:dyDescent="0.25">
      <c r="A16" s="19">
        <v>45827</v>
      </c>
      <c r="B16" s="33">
        <v>282</v>
      </c>
      <c r="C16" s="35"/>
      <c r="D16" s="33">
        <v>100</v>
      </c>
      <c r="E16" s="35"/>
      <c r="F16" s="50">
        <f t="shared" si="2"/>
        <v>182</v>
      </c>
      <c r="G16" s="51"/>
    </row>
    <row r="17" spans="1:7" x14ac:dyDescent="0.25">
      <c r="A17" s="19">
        <v>45834</v>
      </c>
      <c r="B17" s="33">
        <v>284</v>
      </c>
      <c r="C17" s="35"/>
      <c r="D17" s="33">
        <v>200</v>
      </c>
      <c r="E17" s="35"/>
      <c r="F17" s="50">
        <f t="shared" si="2"/>
        <v>84</v>
      </c>
      <c r="G17" s="51"/>
    </row>
    <row r="18" spans="1:7" x14ac:dyDescent="0.25">
      <c r="F18" s="1"/>
    </row>
    <row r="19" spans="1:7" x14ac:dyDescent="0.25">
      <c r="A19" s="4" t="s">
        <v>1</v>
      </c>
      <c r="B19" s="50">
        <f>SUM(B14:C17)</f>
        <v>960</v>
      </c>
      <c r="C19" s="51"/>
      <c r="D19" s="50">
        <f>SUM(D14:E17)</f>
        <v>500</v>
      </c>
      <c r="E19" s="51"/>
      <c r="F19" s="50">
        <f>SUM(F14:G18)</f>
        <v>460</v>
      </c>
      <c r="G19" s="51"/>
    </row>
  </sheetData>
  <sheetProtection algorithmName="SHA-512" hashValue="dwaKR03m/Ss6nH4pntQ80lYKk/iYx8LiHvJPaGi2vJrTia/zy6dmDqsHxy0puCnhSqDVWV117WOYUTCVFGxX9Q==" saltValue="qLB3IIEJuAAUIZ6kIdsMoA==" spinCount="100000" sheet="1" objects="1" scenarios="1"/>
  <mergeCells count="42">
    <mergeCell ref="M2:N2"/>
    <mergeCell ref="M3:N3"/>
    <mergeCell ref="M4:N4"/>
    <mergeCell ref="M9:N9"/>
    <mergeCell ref="B11:G11"/>
    <mergeCell ref="K4:L4"/>
    <mergeCell ref="I7:J7"/>
    <mergeCell ref="K7:L7"/>
    <mergeCell ref="M7:N7"/>
    <mergeCell ref="I5:J5"/>
    <mergeCell ref="K5:L5"/>
    <mergeCell ref="M5:N5"/>
    <mergeCell ref="I6:J6"/>
    <mergeCell ref="K6:L6"/>
    <mergeCell ref="M6:N6"/>
    <mergeCell ref="I10:J10"/>
    <mergeCell ref="B12:G12"/>
    <mergeCell ref="B2:E3"/>
    <mergeCell ref="B4:E4"/>
    <mergeCell ref="B13:C13"/>
    <mergeCell ref="F13:G13"/>
    <mergeCell ref="D13:E13"/>
    <mergeCell ref="B19:C19"/>
    <mergeCell ref="D19:E19"/>
    <mergeCell ref="F19:G19"/>
    <mergeCell ref="B16:C16"/>
    <mergeCell ref="D16:E16"/>
    <mergeCell ref="F16:G16"/>
    <mergeCell ref="B17:C17"/>
    <mergeCell ref="D17:E17"/>
    <mergeCell ref="F17:G17"/>
    <mergeCell ref="B14:C14"/>
    <mergeCell ref="D14:E14"/>
    <mergeCell ref="F14:G14"/>
    <mergeCell ref="B15:C15"/>
    <mergeCell ref="D15:E15"/>
    <mergeCell ref="F15:G15"/>
    <mergeCell ref="K10:L10"/>
    <mergeCell ref="M10:N10"/>
    <mergeCell ref="I8:J8"/>
    <mergeCell ref="K8:L8"/>
    <mergeCell ref="M8:N8"/>
  </mergeCells>
  <hyperlinks>
    <hyperlink ref="B11:G11" location="'END OF MONTH REPORT'!A1" display="PROFIT AND  LOSS STATEMENT" xr:uid="{64BB102B-BC9F-49A5-935F-BF6587AECC43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7E13E-732E-43F9-98AF-B0880623AF07}">
  <sheetPr codeName="Sheet4">
    <tabColor rgb="FF0070C0"/>
  </sheetPr>
  <dimension ref="A2:S40"/>
  <sheetViews>
    <sheetView topLeftCell="A5" zoomScaleNormal="100" workbookViewId="0">
      <selection activeCell="L26" sqref="L26"/>
    </sheetView>
  </sheetViews>
  <sheetFormatPr defaultRowHeight="15" x14ac:dyDescent="0.25"/>
  <cols>
    <col min="3" max="3" width="14.85546875" customWidth="1"/>
    <col min="14" max="14" width="16.7109375" customWidth="1"/>
  </cols>
  <sheetData>
    <row r="2" spans="1:19" ht="18.75" x14ac:dyDescent="0.3">
      <c r="C2" s="75"/>
      <c r="D2" s="75"/>
      <c r="E2" s="75"/>
      <c r="F2" s="75"/>
      <c r="G2" s="75"/>
      <c r="H2" s="75"/>
      <c r="O2" s="12"/>
      <c r="P2" s="12"/>
      <c r="Q2" s="12"/>
      <c r="R2" s="12"/>
      <c r="S2" s="13"/>
    </row>
    <row r="3" spans="1:19" ht="18.75" x14ac:dyDescent="0.3">
      <c r="C3" s="23"/>
      <c r="D3" s="23"/>
      <c r="E3" s="23"/>
      <c r="F3" s="23"/>
      <c r="G3" s="23"/>
      <c r="H3" s="23"/>
      <c r="O3" s="12"/>
      <c r="P3" s="12"/>
      <c r="Q3" s="12"/>
      <c r="R3" s="12"/>
      <c r="S3" s="13"/>
    </row>
    <row r="4" spans="1:19" ht="18.75" x14ac:dyDescent="0.3">
      <c r="C4" s="23"/>
      <c r="D4" s="23"/>
      <c r="E4" s="23"/>
      <c r="F4" s="23"/>
      <c r="G4" s="23"/>
      <c r="H4" s="23"/>
      <c r="O4" s="12"/>
      <c r="P4" s="12"/>
      <c r="Q4" s="12"/>
      <c r="R4" s="12"/>
      <c r="S4" s="13"/>
    </row>
    <row r="5" spans="1:19" ht="15.75" x14ac:dyDescent="0.25">
      <c r="C5" s="61" t="s">
        <v>31</v>
      </c>
      <c r="D5" s="61"/>
      <c r="E5" s="61"/>
      <c r="F5" s="61"/>
      <c r="G5" s="61"/>
      <c r="H5" s="61"/>
      <c r="O5" s="7"/>
      <c r="P5" s="7"/>
      <c r="Q5" s="7"/>
      <c r="R5" s="7"/>
      <c r="S5" s="13"/>
    </row>
    <row r="6" spans="1:19" ht="15.75" x14ac:dyDescent="0.25">
      <c r="C6" s="76" t="s">
        <v>30</v>
      </c>
      <c r="D6" s="77"/>
      <c r="E6" s="77"/>
      <c r="F6" s="77"/>
      <c r="G6" s="77"/>
      <c r="H6" s="78"/>
      <c r="O6" s="7"/>
      <c r="P6" s="7"/>
      <c r="Q6" s="7"/>
      <c r="R6" s="7"/>
      <c r="S6" s="13"/>
    </row>
    <row r="7" spans="1:19" x14ac:dyDescent="0.25">
      <c r="C7" s="2" t="s">
        <v>0</v>
      </c>
      <c r="D7" s="18">
        <v>45809</v>
      </c>
      <c r="E7" s="19">
        <v>45816</v>
      </c>
      <c r="F7" s="19">
        <v>45823</v>
      </c>
      <c r="G7" s="19">
        <v>45830</v>
      </c>
      <c r="H7" s="19">
        <v>45837</v>
      </c>
      <c r="I7" s="4" t="s">
        <v>1</v>
      </c>
      <c r="O7" s="7"/>
      <c r="P7" s="7"/>
      <c r="Q7" s="7"/>
      <c r="R7" s="7"/>
      <c r="S7" s="13"/>
    </row>
    <row r="8" spans="1:19" x14ac:dyDescent="0.25">
      <c r="C8" s="2" t="s">
        <v>10</v>
      </c>
      <c r="D8" s="2">
        <v>200</v>
      </c>
      <c r="E8" s="5"/>
      <c r="F8" s="2">
        <v>200</v>
      </c>
      <c r="G8" s="2"/>
      <c r="H8" s="2"/>
      <c r="I8" s="4">
        <f>SUM(D8:H8)</f>
        <v>400</v>
      </c>
      <c r="O8" s="7"/>
      <c r="P8" s="7"/>
      <c r="Q8" s="7"/>
      <c r="R8" s="7"/>
      <c r="S8" s="13"/>
    </row>
    <row r="9" spans="1:19" x14ac:dyDescent="0.25">
      <c r="C9" s="2" t="s">
        <v>11</v>
      </c>
      <c r="D9" s="2">
        <v>150</v>
      </c>
      <c r="E9" s="2">
        <v>200</v>
      </c>
      <c r="F9" s="2"/>
      <c r="G9" s="2">
        <v>200</v>
      </c>
      <c r="H9" s="2">
        <v>200</v>
      </c>
      <c r="I9" s="4">
        <f t="shared" ref="I9:I30" si="0">SUM(D9:H9)</f>
        <v>750</v>
      </c>
      <c r="O9" s="7"/>
      <c r="P9" s="7"/>
      <c r="Q9" s="7"/>
      <c r="R9" s="7"/>
      <c r="S9" s="13"/>
    </row>
    <row r="10" spans="1:19" x14ac:dyDescent="0.25">
      <c r="C10" s="2" t="s">
        <v>28</v>
      </c>
      <c r="D10" s="2">
        <v>300</v>
      </c>
      <c r="E10" s="2"/>
      <c r="F10" s="2"/>
      <c r="G10" s="2"/>
      <c r="H10" s="2"/>
      <c r="I10" s="4">
        <f t="shared" si="0"/>
        <v>300</v>
      </c>
      <c r="O10" s="7"/>
      <c r="P10" s="7"/>
      <c r="Q10" s="7"/>
      <c r="R10" s="7"/>
      <c r="S10" s="7"/>
    </row>
    <row r="11" spans="1:19" x14ac:dyDescent="0.25">
      <c r="C11" s="2" t="s">
        <v>12</v>
      </c>
      <c r="D11" s="2">
        <v>520</v>
      </c>
      <c r="E11" s="2">
        <v>400</v>
      </c>
      <c r="F11" s="2">
        <v>400</v>
      </c>
      <c r="G11" s="2">
        <v>300</v>
      </c>
      <c r="H11" s="2">
        <v>300</v>
      </c>
      <c r="I11" s="4">
        <f t="shared" si="0"/>
        <v>1920</v>
      </c>
    </row>
    <row r="12" spans="1:19" x14ac:dyDescent="0.25">
      <c r="C12" s="2" t="s">
        <v>23</v>
      </c>
      <c r="D12" s="2">
        <v>500</v>
      </c>
      <c r="E12" s="2">
        <v>300</v>
      </c>
      <c r="F12" s="2">
        <v>300</v>
      </c>
      <c r="G12" s="2">
        <v>300</v>
      </c>
      <c r="H12" s="2">
        <v>300</v>
      </c>
      <c r="I12" s="4">
        <f t="shared" si="0"/>
        <v>1700</v>
      </c>
    </row>
    <row r="13" spans="1:19" x14ac:dyDescent="0.25">
      <c r="C13" s="2" t="s">
        <v>22</v>
      </c>
      <c r="D13" s="2">
        <v>2000</v>
      </c>
      <c r="E13" s="2"/>
      <c r="F13" s="2"/>
      <c r="G13" s="2"/>
      <c r="H13" s="2"/>
      <c r="I13" s="4">
        <f t="shared" si="0"/>
        <v>2000</v>
      </c>
    </row>
    <row r="14" spans="1:19" x14ac:dyDescent="0.25">
      <c r="B14" s="6"/>
      <c r="C14" s="2" t="s">
        <v>13</v>
      </c>
      <c r="D14" s="2"/>
      <c r="E14" s="2">
        <v>100</v>
      </c>
      <c r="F14" s="2"/>
      <c r="G14" s="2"/>
      <c r="H14" s="2"/>
      <c r="I14" s="4">
        <f t="shared" si="0"/>
        <v>100</v>
      </c>
      <c r="M14" s="7"/>
      <c r="N14" s="14"/>
      <c r="O14" s="15"/>
      <c r="P14" s="14"/>
      <c r="Q14" s="15"/>
      <c r="R14" s="14"/>
      <c r="S14" s="15"/>
    </row>
    <row r="15" spans="1:19" x14ac:dyDescent="0.25">
      <c r="A15" t="s">
        <v>5</v>
      </c>
      <c r="C15" s="2" t="s">
        <v>14</v>
      </c>
      <c r="D15" s="2"/>
      <c r="E15" s="2">
        <v>100</v>
      </c>
      <c r="F15" s="2"/>
      <c r="G15" s="2">
        <v>100</v>
      </c>
      <c r="H15" s="2">
        <v>100</v>
      </c>
      <c r="I15" s="4">
        <f t="shared" si="0"/>
        <v>300</v>
      </c>
      <c r="M15" s="12"/>
      <c r="N15" s="48"/>
      <c r="O15" s="48"/>
      <c r="P15" s="48"/>
      <c r="Q15" s="48"/>
      <c r="R15" s="49"/>
      <c r="S15" s="49"/>
    </row>
    <row r="16" spans="1:19" ht="15.75" x14ac:dyDescent="0.25">
      <c r="C16" s="20" t="s">
        <v>15</v>
      </c>
      <c r="D16" s="2"/>
      <c r="E16" s="2">
        <v>1000</v>
      </c>
      <c r="F16" s="2"/>
      <c r="G16" s="2"/>
      <c r="H16" s="2"/>
      <c r="I16" s="4">
        <f t="shared" si="0"/>
        <v>1000</v>
      </c>
      <c r="M16" s="12"/>
      <c r="N16" s="48"/>
      <c r="O16" s="48"/>
      <c r="P16" s="48"/>
      <c r="Q16" s="48"/>
      <c r="R16" s="49"/>
      <c r="S16" s="49"/>
    </row>
    <row r="17" spans="2:19" x14ac:dyDescent="0.25">
      <c r="C17" s="2" t="s">
        <v>17</v>
      </c>
      <c r="D17" s="2"/>
      <c r="E17" s="2"/>
      <c r="F17" s="2">
        <v>6000</v>
      </c>
      <c r="G17" s="2"/>
      <c r="H17" s="2"/>
      <c r="I17" s="4">
        <f t="shared" si="0"/>
        <v>6000</v>
      </c>
      <c r="M17" s="12"/>
      <c r="N17" s="48"/>
      <c r="O17" s="48"/>
      <c r="P17" s="48"/>
      <c r="Q17" s="48"/>
      <c r="R17" s="49"/>
      <c r="S17" s="49"/>
    </row>
    <row r="18" spans="2:19" x14ac:dyDescent="0.25">
      <c r="C18" s="2" t="s">
        <v>18</v>
      </c>
      <c r="D18" s="2"/>
      <c r="E18" s="2"/>
      <c r="F18" s="2">
        <v>1000</v>
      </c>
      <c r="G18" s="2"/>
      <c r="H18" s="2">
        <v>1000</v>
      </c>
      <c r="I18" s="4">
        <f t="shared" si="0"/>
        <v>2000</v>
      </c>
      <c r="M18" s="12"/>
      <c r="N18" s="48"/>
      <c r="O18" s="48"/>
      <c r="P18" s="48"/>
      <c r="Q18" s="48"/>
      <c r="R18" s="49"/>
      <c r="S18" s="49"/>
    </row>
    <row r="19" spans="2:19" x14ac:dyDescent="0.25">
      <c r="C19" s="2" t="s">
        <v>20</v>
      </c>
      <c r="D19" s="2"/>
      <c r="E19" s="2"/>
      <c r="F19" s="2">
        <v>300</v>
      </c>
      <c r="G19" s="2"/>
      <c r="H19" s="2"/>
      <c r="I19" s="4">
        <f t="shared" si="0"/>
        <v>300</v>
      </c>
      <c r="R19" s="16"/>
    </row>
    <row r="20" spans="2:19" x14ac:dyDescent="0.25">
      <c r="C20" s="2" t="s">
        <v>44</v>
      </c>
      <c r="D20" s="5"/>
      <c r="E20" s="2"/>
      <c r="F20" s="2"/>
      <c r="G20" s="2">
        <v>880</v>
      </c>
      <c r="H20" s="2"/>
      <c r="I20" s="4">
        <f t="shared" si="0"/>
        <v>880</v>
      </c>
      <c r="N20" s="48"/>
      <c r="O20" s="48"/>
      <c r="P20" s="48"/>
      <c r="Q20" s="48"/>
      <c r="R20" s="48"/>
      <c r="S20" s="48"/>
    </row>
    <row r="21" spans="2:19" x14ac:dyDescent="0.25">
      <c r="C21" s="2" t="s">
        <v>45</v>
      </c>
      <c r="D21" s="5"/>
      <c r="E21" s="2"/>
      <c r="F21" s="2"/>
      <c r="G21" s="2">
        <v>100</v>
      </c>
      <c r="H21" s="2"/>
      <c r="I21" s="4">
        <f t="shared" si="0"/>
        <v>100</v>
      </c>
    </row>
    <row r="22" spans="2:19" x14ac:dyDescent="0.25">
      <c r="C22" s="2" t="s">
        <v>46</v>
      </c>
      <c r="D22" s="5"/>
      <c r="E22" s="2"/>
      <c r="F22" s="2"/>
      <c r="G22" s="2">
        <v>50</v>
      </c>
      <c r="H22" s="2">
        <v>50</v>
      </c>
      <c r="I22" s="4">
        <f t="shared" si="0"/>
        <v>100</v>
      </c>
    </row>
    <row r="23" spans="2:19" x14ac:dyDescent="0.25">
      <c r="C23" s="2" t="s">
        <v>61</v>
      </c>
      <c r="D23" s="5"/>
      <c r="E23" s="2"/>
      <c r="F23" s="2"/>
      <c r="G23" s="2"/>
      <c r="H23" s="2">
        <v>100</v>
      </c>
      <c r="I23" s="4">
        <f t="shared" si="0"/>
        <v>100</v>
      </c>
    </row>
    <row r="24" spans="2:19" x14ac:dyDescent="0.25">
      <c r="C24" s="2" t="s">
        <v>60</v>
      </c>
      <c r="D24" s="2"/>
      <c r="E24" s="2"/>
      <c r="F24" s="2"/>
      <c r="G24" s="2"/>
      <c r="H24" s="2">
        <v>3000</v>
      </c>
      <c r="I24" s="4">
        <f t="shared" si="0"/>
        <v>3000</v>
      </c>
    </row>
    <row r="25" spans="2:19" x14ac:dyDescent="0.25">
      <c r="C25" s="2" t="s">
        <v>63</v>
      </c>
      <c r="D25" s="2"/>
      <c r="E25" s="2"/>
      <c r="F25" s="2"/>
      <c r="G25" s="2"/>
      <c r="H25" s="2">
        <v>2050</v>
      </c>
      <c r="I25" s="4">
        <f t="shared" si="0"/>
        <v>2050</v>
      </c>
    </row>
    <row r="26" spans="2:19" x14ac:dyDescent="0.25">
      <c r="C26" s="2" t="s">
        <v>65</v>
      </c>
      <c r="D26" s="2"/>
      <c r="E26" s="2"/>
      <c r="F26" s="2"/>
      <c r="G26" s="2"/>
      <c r="H26" s="2">
        <v>50</v>
      </c>
      <c r="I26" s="4">
        <f t="shared" si="0"/>
        <v>50</v>
      </c>
    </row>
    <row r="27" spans="2:19" x14ac:dyDescent="0.25">
      <c r="C27" s="2" t="s">
        <v>66</v>
      </c>
      <c r="D27" s="10"/>
      <c r="E27" s="2"/>
      <c r="F27" s="2"/>
      <c r="G27" s="2"/>
      <c r="H27" s="2">
        <v>40</v>
      </c>
      <c r="I27" s="4">
        <f t="shared" si="0"/>
        <v>40</v>
      </c>
    </row>
    <row r="28" spans="2:19" x14ac:dyDescent="0.25">
      <c r="B28" s="6"/>
      <c r="C28" s="2"/>
      <c r="D28" s="2"/>
      <c r="E28" s="2"/>
      <c r="F28" s="2"/>
      <c r="G28" s="2"/>
      <c r="H28" s="2"/>
      <c r="I28" s="4">
        <f t="shared" si="0"/>
        <v>0</v>
      </c>
    </row>
    <row r="29" spans="2:19" x14ac:dyDescent="0.25">
      <c r="C29" s="2"/>
      <c r="D29" s="2"/>
      <c r="E29" s="2"/>
      <c r="F29" s="2"/>
      <c r="G29" s="2"/>
      <c r="H29" s="2"/>
      <c r="I29" s="4">
        <f t="shared" si="0"/>
        <v>0</v>
      </c>
    </row>
    <row r="30" spans="2:19" x14ac:dyDescent="0.25">
      <c r="C30" s="2"/>
      <c r="D30" s="3"/>
      <c r="E30" s="3"/>
      <c r="F30" s="3"/>
      <c r="G30" s="3"/>
      <c r="H30" s="2"/>
      <c r="I30" s="4">
        <f t="shared" si="0"/>
        <v>0</v>
      </c>
    </row>
    <row r="31" spans="2:19" x14ac:dyDescent="0.25">
      <c r="C31" s="7"/>
      <c r="D31" s="7"/>
      <c r="E31" s="7"/>
      <c r="F31" s="7"/>
      <c r="G31" s="7"/>
      <c r="I31" s="4"/>
    </row>
    <row r="32" spans="2:19" x14ac:dyDescent="0.25">
      <c r="B32" s="2" t="s">
        <v>1</v>
      </c>
      <c r="C32" s="7"/>
      <c r="D32" s="4">
        <f>SUM(D8:D30)</f>
        <v>3670</v>
      </c>
      <c r="E32" s="4">
        <f t="shared" ref="E32:I32" si="1">SUM(E8:E30)</f>
        <v>2100</v>
      </c>
      <c r="F32" s="4">
        <f t="shared" si="1"/>
        <v>8200</v>
      </c>
      <c r="G32" s="4">
        <f t="shared" si="1"/>
        <v>1930</v>
      </c>
      <c r="H32" s="4">
        <f t="shared" si="1"/>
        <v>7190</v>
      </c>
      <c r="I32" s="4">
        <f t="shared" si="1"/>
        <v>23090</v>
      </c>
    </row>
    <row r="34" spans="2:14" ht="15.75" x14ac:dyDescent="0.25">
      <c r="C34" s="61" t="s">
        <v>32</v>
      </c>
      <c r="D34" s="53"/>
      <c r="E34" s="53"/>
      <c r="F34" s="53"/>
      <c r="G34" s="53"/>
      <c r="H34" s="53"/>
      <c r="I34" s="53"/>
      <c r="L34" s="74" t="s">
        <v>55</v>
      </c>
      <c r="M34" s="74"/>
      <c r="N34" s="74"/>
    </row>
    <row r="35" spans="2:14" x14ac:dyDescent="0.25">
      <c r="C35" s="2" t="s">
        <v>6</v>
      </c>
      <c r="D35" s="9">
        <v>800</v>
      </c>
      <c r="E35" s="7">
        <v>350</v>
      </c>
      <c r="F35" s="7">
        <v>1023</v>
      </c>
      <c r="G35" s="7">
        <v>303</v>
      </c>
      <c r="H35" s="7">
        <v>799</v>
      </c>
      <c r="I35" s="3"/>
      <c r="J35" s="13"/>
    </row>
    <row r="36" spans="2:14" x14ac:dyDescent="0.25">
      <c r="C36" s="2" t="s">
        <v>7</v>
      </c>
      <c r="D36" s="2">
        <v>293</v>
      </c>
      <c r="E36" s="2">
        <v>382</v>
      </c>
      <c r="F36" s="2">
        <v>153</v>
      </c>
      <c r="G36" s="2">
        <v>710</v>
      </c>
      <c r="H36" s="2">
        <v>602</v>
      </c>
      <c r="I36" s="2"/>
      <c r="J36" s="13"/>
    </row>
    <row r="37" spans="2:14" x14ac:dyDescent="0.25">
      <c r="C37" s="2" t="s">
        <v>1</v>
      </c>
      <c r="D37" s="2">
        <f>SUM(D35:D36)</f>
        <v>1093</v>
      </c>
      <c r="E37" s="2">
        <f t="shared" ref="E37:H37" si="2">SUM(E35:E36)</f>
        <v>732</v>
      </c>
      <c r="F37" s="2">
        <f t="shared" si="2"/>
        <v>1176</v>
      </c>
      <c r="G37" s="2">
        <f t="shared" si="2"/>
        <v>1013</v>
      </c>
      <c r="H37" s="2">
        <f t="shared" si="2"/>
        <v>1401</v>
      </c>
      <c r="I37" s="4">
        <f>SUM(D37:H37)</f>
        <v>5415</v>
      </c>
      <c r="J37" s="13"/>
    </row>
    <row r="38" spans="2:14" x14ac:dyDescent="0.25">
      <c r="C38" s="7"/>
      <c r="E38" s="7"/>
      <c r="F38" s="7"/>
      <c r="G38" s="7"/>
      <c r="H38" s="7"/>
      <c r="I38" s="7"/>
      <c r="J38" s="13"/>
    </row>
    <row r="39" spans="2:14" x14ac:dyDescent="0.25">
      <c r="B39" s="52" t="s">
        <v>36</v>
      </c>
      <c r="C39" s="53"/>
      <c r="D39" s="52">
        <f t="shared" ref="D39:H39" si="3">SUM(D32,D37)</f>
        <v>4763</v>
      </c>
      <c r="E39" s="73">
        <f t="shared" si="3"/>
        <v>2832</v>
      </c>
      <c r="F39" s="52">
        <f t="shared" ref="F39" si="4">SUM(F32,F37)</f>
        <v>9376</v>
      </c>
      <c r="G39" s="52">
        <f t="shared" si="3"/>
        <v>2943</v>
      </c>
      <c r="H39" s="52">
        <f t="shared" si="3"/>
        <v>8591</v>
      </c>
      <c r="I39" s="52">
        <f>SUM(I32,I37)</f>
        <v>28505</v>
      </c>
      <c r="J39" s="49"/>
    </row>
    <row r="40" spans="2:14" x14ac:dyDescent="0.25">
      <c r="B40" s="50" t="s">
        <v>29</v>
      </c>
      <c r="C40" s="35"/>
      <c r="D40" s="52"/>
      <c r="E40" s="73"/>
      <c r="F40" s="52"/>
      <c r="G40" s="52"/>
      <c r="H40" s="52"/>
      <c r="I40" s="52"/>
      <c r="J40" s="49"/>
    </row>
  </sheetData>
  <sheetProtection algorithmName="SHA-512" hashValue="x6WHKRI1ILdHxltT1ifaOlZtMQImFAnMxtZqJhCNlwlZIzKEQYHB9thSG0M0qxJ0Sipnd+1i6bJpVe14sBWx0Q==" saltValue="mnZx+Utj4fiktppYhnGnBg==" spinCount="100000" sheet="1" objects="1" scenarios="1"/>
  <mergeCells count="29">
    <mergeCell ref="L34:N34"/>
    <mergeCell ref="C2:H2"/>
    <mergeCell ref="C5:H5"/>
    <mergeCell ref="C6:H6"/>
    <mergeCell ref="C34:I34"/>
    <mergeCell ref="N20:O20"/>
    <mergeCell ref="B39:C39"/>
    <mergeCell ref="J39:J40"/>
    <mergeCell ref="D39:D40"/>
    <mergeCell ref="E39:E40"/>
    <mergeCell ref="G39:G40"/>
    <mergeCell ref="H39:H40"/>
    <mergeCell ref="I39:I40"/>
    <mergeCell ref="F39:F40"/>
    <mergeCell ref="B40:C40"/>
    <mergeCell ref="P20:Q20"/>
    <mergeCell ref="R20:S20"/>
    <mergeCell ref="N15:O15"/>
    <mergeCell ref="N16:O16"/>
    <mergeCell ref="N17:O17"/>
    <mergeCell ref="N18:O18"/>
    <mergeCell ref="P15:Q15"/>
    <mergeCell ref="P16:Q16"/>
    <mergeCell ref="P17:Q17"/>
    <mergeCell ref="P18:Q18"/>
    <mergeCell ref="R15:S15"/>
    <mergeCell ref="R16:S16"/>
    <mergeCell ref="R17:S17"/>
    <mergeCell ref="R18:S18"/>
  </mergeCells>
  <hyperlinks>
    <hyperlink ref="L34:N34" location="'Sunday Service Expenses'!A1" display="GO TO SUNDAY SERVICE EXPENSES" xr:uid="{A94C4445-E662-41AC-9D84-D92C93601A57}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600C-2218-43C8-88F8-003E5327399B}">
  <sheetPr codeName="Sheet5">
    <tabColor rgb="FFFFC000"/>
  </sheetPr>
  <dimension ref="D4:AB25"/>
  <sheetViews>
    <sheetView workbookViewId="0">
      <selection activeCell="O5" sqref="O5:T5"/>
    </sheetView>
  </sheetViews>
  <sheetFormatPr defaultRowHeight="15" x14ac:dyDescent="0.25"/>
  <cols>
    <col min="3" max="4" width="9.140625" customWidth="1"/>
    <col min="6" max="6" width="16.5703125" customWidth="1"/>
  </cols>
  <sheetData>
    <row r="4" spans="5:20" x14ac:dyDescent="0.25">
      <c r="E4" s="85" t="s">
        <v>3</v>
      </c>
      <c r="F4" s="85"/>
      <c r="G4" s="19">
        <v>45809</v>
      </c>
      <c r="H4" s="19">
        <v>45816</v>
      </c>
      <c r="I4" s="19">
        <v>45823</v>
      </c>
      <c r="J4" s="19">
        <v>45830</v>
      </c>
      <c r="K4" s="19">
        <v>45837</v>
      </c>
      <c r="L4" s="4" t="s">
        <v>1</v>
      </c>
      <c r="O4" s="72" t="s">
        <v>33</v>
      </c>
      <c r="P4" s="72"/>
      <c r="Q4" s="72"/>
      <c r="R4" s="72"/>
      <c r="S4" s="72"/>
      <c r="T4" s="72"/>
    </row>
    <row r="5" spans="5:20" x14ac:dyDescent="0.25">
      <c r="E5" s="33" t="s">
        <v>37</v>
      </c>
      <c r="F5" s="35"/>
      <c r="G5" s="2">
        <v>2500</v>
      </c>
      <c r="H5" s="2">
        <v>2500</v>
      </c>
      <c r="I5" s="2">
        <v>2500</v>
      </c>
      <c r="J5" s="2">
        <v>2500</v>
      </c>
      <c r="K5" s="2">
        <v>2500</v>
      </c>
      <c r="L5" s="111">
        <f>SUM(G5:K5)</f>
        <v>12500</v>
      </c>
      <c r="O5" s="82" t="s">
        <v>30</v>
      </c>
      <c r="P5" s="83"/>
      <c r="Q5" s="83"/>
      <c r="R5" s="83"/>
      <c r="S5" s="83"/>
      <c r="T5" s="84"/>
    </row>
    <row r="6" spans="5:20" x14ac:dyDescent="0.25">
      <c r="E6" s="33" t="s">
        <v>38</v>
      </c>
      <c r="F6" s="35"/>
      <c r="G6" s="2">
        <v>500</v>
      </c>
      <c r="H6" s="2">
        <v>500</v>
      </c>
      <c r="I6" s="2">
        <v>500</v>
      </c>
      <c r="J6" s="2">
        <v>500</v>
      </c>
      <c r="K6" s="2">
        <v>500</v>
      </c>
      <c r="L6" s="111">
        <f t="shared" ref="L6:L14" si="0">SUM(G6:K6)</f>
        <v>2500</v>
      </c>
      <c r="N6" s="2" t="s">
        <v>2</v>
      </c>
      <c r="O6" s="59" t="s">
        <v>36</v>
      </c>
      <c r="P6" s="60"/>
      <c r="Q6" s="57" t="s">
        <v>3</v>
      </c>
      <c r="R6" s="58"/>
      <c r="S6" s="57" t="s">
        <v>41</v>
      </c>
      <c r="T6" s="58"/>
    </row>
    <row r="7" spans="5:20" x14ac:dyDescent="0.25">
      <c r="E7" s="33" t="s">
        <v>39</v>
      </c>
      <c r="F7" s="35"/>
      <c r="G7" s="2">
        <v>200</v>
      </c>
      <c r="H7" s="2">
        <v>200</v>
      </c>
      <c r="I7" s="2">
        <v>200</v>
      </c>
      <c r="J7" s="2">
        <v>200</v>
      </c>
      <c r="K7" s="2">
        <v>200</v>
      </c>
      <c r="L7" s="111">
        <f t="shared" si="0"/>
        <v>1000</v>
      </c>
      <c r="N7" s="19">
        <v>45809</v>
      </c>
      <c r="O7" s="33">
        <v>4763</v>
      </c>
      <c r="P7" s="35"/>
      <c r="Q7" s="33">
        <v>3225</v>
      </c>
      <c r="R7" s="35"/>
      <c r="S7" s="108">
        <f t="shared" ref="S7:S11" si="1">O7-Q7</f>
        <v>1538</v>
      </c>
      <c r="T7" s="109"/>
    </row>
    <row r="8" spans="5:20" x14ac:dyDescent="0.25">
      <c r="E8" s="33" t="s">
        <v>40</v>
      </c>
      <c r="F8" s="35"/>
      <c r="G8" s="2">
        <v>25</v>
      </c>
      <c r="H8" s="2"/>
      <c r="I8" s="2"/>
      <c r="J8" s="2"/>
      <c r="K8" s="2"/>
      <c r="L8" s="111">
        <f t="shared" si="0"/>
        <v>25</v>
      </c>
      <c r="N8" s="19">
        <v>45816</v>
      </c>
      <c r="O8" s="33">
        <v>2832</v>
      </c>
      <c r="P8" s="35"/>
      <c r="Q8" s="33">
        <v>3300</v>
      </c>
      <c r="R8" s="35"/>
      <c r="S8" s="87">
        <f t="shared" si="1"/>
        <v>-468</v>
      </c>
      <c r="T8" s="88"/>
    </row>
    <row r="9" spans="5:20" x14ac:dyDescent="0.25">
      <c r="E9" s="33" t="s">
        <v>19</v>
      </c>
      <c r="F9" s="35"/>
      <c r="G9" s="2"/>
      <c r="H9" s="2"/>
      <c r="I9" s="17">
        <v>468</v>
      </c>
      <c r="J9" s="17"/>
      <c r="K9" s="2"/>
      <c r="L9" s="111">
        <f t="shared" si="0"/>
        <v>468</v>
      </c>
      <c r="N9" s="19">
        <v>45823</v>
      </c>
      <c r="O9" s="33">
        <v>9376</v>
      </c>
      <c r="P9" s="35"/>
      <c r="Q9" s="80">
        <v>7218</v>
      </c>
      <c r="R9" s="81"/>
      <c r="S9" s="108">
        <f t="shared" si="1"/>
        <v>2158</v>
      </c>
      <c r="T9" s="109"/>
    </row>
    <row r="10" spans="5:20" x14ac:dyDescent="0.25">
      <c r="E10" s="33" t="s">
        <v>21</v>
      </c>
      <c r="F10" s="35"/>
      <c r="G10" s="2"/>
      <c r="H10" s="2"/>
      <c r="I10" s="17">
        <v>3500</v>
      </c>
      <c r="J10" s="17"/>
      <c r="K10" s="2"/>
      <c r="L10" s="111">
        <f t="shared" si="0"/>
        <v>3500</v>
      </c>
      <c r="N10" s="19">
        <v>45830</v>
      </c>
      <c r="O10" s="53">
        <v>2943</v>
      </c>
      <c r="P10" s="53"/>
      <c r="Q10" s="53">
        <v>3438</v>
      </c>
      <c r="R10" s="53"/>
      <c r="S10" s="110">
        <f t="shared" si="1"/>
        <v>-495</v>
      </c>
      <c r="T10" s="110"/>
    </row>
    <row r="11" spans="5:20" x14ac:dyDescent="0.25">
      <c r="E11" s="33" t="s">
        <v>67</v>
      </c>
      <c r="F11" s="35"/>
      <c r="G11" s="2"/>
      <c r="H11" s="2"/>
      <c r="I11" s="17"/>
      <c r="J11" s="17">
        <v>238</v>
      </c>
      <c r="K11" s="2">
        <v>350</v>
      </c>
      <c r="L11" s="111">
        <f t="shared" si="0"/>
        <v>588</v>
      </c>
      <c r="N11" s="19">
        <v>45837</v>
      </c>
      <c r="O11" s="33">
        <v>8591</v>
      </c>
      <c r="P11" s="35"/>
      <c r="Q11" s="33">
        <v>7800</v>
      </c>
      <c r="R11" s="35"/>
      <c r="S11" s="108">
        <f t="shared" si="1"/>
        <v>791</v>
      </c>
      <c r="T11" s="109"/>
    </row>
    <row r="12" spans="5:20" x14ac:dyDescent="0.25">
      <c r="E12" s="33" t="s">
        <v>68</v>
      </c>
      <c r="F12" s="35"/>
      <c r="G12" s="2"/>
      <c r="H12" s="2"/>
      <c r="I12" s="17"/>
      <c r="J12" s="17"/>
      <c r="K12" s="2">
        <v>750</v>
      </c>
      <c r="L12" s="111">
        <f t="shared" si="0"/>
        <v>750</v>
      </c>
      <c r="N12" s="2" t="s">
        <v>1</v>
      </c>
      <c r="O12" s="53">
        <f>SUM(O7:O11)</f>
        <v>28505</v>
      </c>
      <c r="P12" s="53"/>
      <c r="Q12" s="53">
        <f>SUM(Q7:Q11)</f>
        <v>24981</v>
      </c>
      <c r="R12" s="53"/>
      <c r="S12" s="52">
        <f>SUM(S7:S11)</f>
        <v>3524</v>
      </c>
      <c r="T12" s="52"/>
    </row>
    <row r="13" spans="5:20" x14ac:dyDescent="0.25">
      <c r="E13" s="33" t="s">
        <v>69</v>
      </c>
      <c r="F13" s="35"/>
      <c r="G13" s="2"/>
      <c r="H13" s="2"/>
      <c r="I13" s="17"/>
      <c r="J13" s="17"/>
      <c r="K13" s="2">
        <v>3500</v>
      </c>
      <c r="L13" s="111">
        <f t="shared" si="0"/>
        <v>3500</v>
      </c>
      <c r="N13" s="103"/>
      <c r="O13" s="104"/>
      <c r="P13" s="104"/>
      <c r="Q13" s="104"/>
      <c r="R13" s="104"/>
      <c r="S13" s="105"/>
      <c r="T13" s="105"/>
    </row>
    <row r="14" spans="5:20" x14ac:dyDescent="0.25">
      <c r="E14" s="33" t="s">
        <v>16</v>
      </c>
      <c r="F14" s="35"/>
      <c r="G14" s="2"/>
      <c r="H14" s="2">
        <v>100</v>
      </c>
      <c r="I14" s="2">
        <v>50</v>
      </c>
      <c r="J14" s="2"/>
      <c r="K14" s="2"/>
      <c r="L14" s="111">
        <f t="shared" si="0"/>
        <v>150</v>
      </c>
      <c r="N14" s="104"/>
      <c r="O14" s="106"/>
      <c r="P14" s="106"/>
      <c r="Q14" s="106"/>
      <c r="R14" s="106"/>
      <c r="S14" s="107"/>
      <c r="T14" s="107"/>
    </row>
    <row r="15" spans="5:20" x14ac:dyDescent="0.25">
      <c r="E15" s="33" t="s">
        <v>1</v>
      </c>
      <c r="F15" s="35"/>
      <c r="G15" s="2">
        <f>SUM(G5:G14)</f>
        <v>3225</v>
      </c>
      <c r="H15" s="2">
        <f>SUM(H5:H14)</f>
        <v>3300</v>
      </c>
      <c r="I15" s="2">
        <f>SUM(I5:I14)</f>
        <v>7218</v>
      </c>
      <c r="J15" s="2">
        <f>SUM(J5:J14)</f>
        <v>3438</v>
      </c>
      <c r="K15" s="2">
        <f>SUM(K5:K14)</f>
        <v>7800</v>
      </c>
      <c r="L15" s="4">
        <f>SUM(L5:L14)</f>
        <v>24981</v>
      </c>
      <c r="N15" s="7"/>
      <c r="O15" s="48"/>
      <c r="P15" s="48"/>
      <c r="Q15" s="48"/>
      <c r="R15" s="48"/>
      <c r="S15" s="48"/>
      <c r="T15" s="48"/>
    </row>
    <row r="17" spans="5:28" x14ac:dyDescent="0.25">
      <c r="F17" s="48"/>
      <c r="G17" s="48"/>
      <c r="H17" s="48"/>
      <c r="I17" s="48"/>
      <c r="J17" s="48"/>
      <c r="K17" s="48"/>
      <c r="L17" s="48"/>
    </row>
    <row r="18" spans="5:28" x14ac:dyDescent="0.25">
      <c r="F18" s="49"/>
      <c r="G18" s="49"/>
      <c r="H18" s="49"/>
      <c r="I18" s="49"/>
      <c r="J18" s="49"/>
      <c r="K18" s="49"/>
      <c r="L18" s="49"/>
      <c r="V18" s="18"/>
      <c r="AA18" s="16"/>
      <c r="AB18" s="16"/>
    </row>
    <row r="19" spans="5:28" x14ac:dyDescent="0.25">
      <c r="E19" s="7"/>
      <c r="F19" s="14"/>
      <c r="G19" s="15"/>
      <c r="H19" s="14"/>
      <c r="I19" s="15"/>
      <c r="J19" s="15"/>
      <c r="K19" s="14"/>
      <c r="L19" s="15"/>
      <c r="V19" s="7"/>
    </row>
    <row r="20" spans="5:28" x14ac:dyDescent="0.25">
      <c r="E20" s="12"/>
      <c r="F20" s="48"/>
      <c r="G20" s="48"/>
      <c r="H20" s="48"/>
      <c r="I20" s="48"/>
      <c r="J20" s="7"/>
      <c r="K20" s="49"/>
      <c r="L20" s="49"/>
    </row>
    <row r="21" spans="5:28" x14ac:dyDescent="0.25">
      <c r="E21" s="12"/>
      <c r="F21" s="48"/>
      <c r="G21" s="48"/>
      <c r="H21" s="48"/>
      <c r="I21" s="48"/>
      <c r="J21" s="7"/>
      <c r="K21" s="49"/>
      <c r="L21" s="49"/>
      <c r="V21" s="104"/>
      <c r="W21" s="106"/>
      <c r="X21" s="106"/>
      <c r="Y21" s="106"/>
      <c r="Z21" s="106"/>
      <c r="AA21" s="107"/>
      <c r="AB21" s="107"/>
    </row>
    <row r="22" spans="5:28" x14ac:dyDescent="0.25">
      <c r="E22" s="12"/>
      <c r="F22" s="48"/>
      <c r="G22" s="48"/>
      <c r="H22" s="79"/>
      <c r="I22" s="79"/>
      <c r="J22" s="21"/>
      <c r="K22" s="49"/>
      <c r="L22" s="49"/>
    </row>
    <row r="23" spans="5:28" x14ac:dyDescent="0.25">
      <c r="E23" s="12"/>
      <c r="F23" s="48"/>
      <c r="G23" s="48"/>
      <c r="H23" s="48"/>
      <c r="I23" s="48"/>
      <c r="J23" s="7"/>
      <c r="K23" s="49"/>
      <c r="L23" s="49"/>
    </row>
    <row r="24" spans="5:28" x14ac:dyDescent="0.25">
      <c r="K24" s="16"/>
    </row>
    <row r="25" spans="5:28" x14ac:dyDescent="0.25">
      <c r="F25" s="48"/>
      <c r="G25" s="48"/>
      <c r="H25" s="48"/>
      <c r="I25" s="48"/>
      <c r="J25" s="7"/>
      <c r="K25" s="48"/>
      <c r="L25" s="48"/>
    </row>
  </sheetData>
  <sheetProtection algorithmName="SHA-512" hashValue="aH4lwjwwbExOpeV3KyiCu0flGapdcDg8r7rwLQI7ncxbQe0fj19E6lCizD4RcPgPu5mWhT1kcCYbZOVSDyUkcQ==" saltValue="i3y98fOYCbIMdVv1UohKkw==" spinCount="100000" sheet="1" objects="1" scenarios="1"/>
  <mergeCells count="61">
    <mergeCell ref="W21:X21"/>
    <mergeCell ref="Y21:Z21"/>
    <mergeCell ref="AA21:AB21"/>
    <mergeCell ref="Q10:R10"/>
    <mergeCell ref="S10:T10"/>
    <mergeCell ref="O15:P15"/>
    <mergeCell ref="Q15:R15"/>
    <mergeCell ref="S15:T15"/>
    <mergeCell ref="S14:T14"/>
    <mergeCell ref="Q14:R14"/>
    <mergeCell ref="O14:P14"/>
    <mergeCell ref="Q11:R11"/>
    <mergeCell ref="S11:T11"/>
    <mergeCell ref="O12:P12"/>
    <mergeCell ref="Q12:R12"/>
    <mergeCell ref="S12:T12"/>
    <mergeCell ref="E4:F4"/>
    <mergeCell ref="E5:F5"/>
    <mergeCell ref="E6:F6"/>
    <mergeCell ref="E7:F7"/>
    <mergeCell ref="E8:F8"/>
    <mergeCell ref="E10:F10"/>
    <mergeCell ref="F17:L17"/>
    <mergeCell ref="F18:L18"/>
    <mergeCell ref="O10:P10"/>
    <mergeCell ref="E14:F14"/>
    <mergeCell ref="E15:F15"/>
    <mergeCell ref="E11:F11"/>
    <mergeCell ref="O11:P11"/>
    <mergeCell ref="E12:F12"/>
    <mergeCell ref="E13:F13"/>
    <mergeCell ref="O4:T4"/>
    <mergeCell ref="O5:T5"/>
    <mergeCell ref="O7:P7"/>
    <mergeCell ref="Q7:R7"/>
    <mergeCell ref="S7:T7"/>
    <mergeCell ref="O6:P6"/>
    <mergeCell ref="Q6:R6"/>
    <mergeCell ref="S6:T6"/>
    <mergeCell ref="O8:P8"/>
    <mergeCell ref="Q8:R8"/>
    <mergeCell ref="S8:T8"/>
    <mergeCell ref="O9:P9"/>
    <mergeCell ref="Q9:R9"/>
    <mergeCell ref="S9:T9"/>
    <mergeCell ref="E9:F9"/>
    <mergeCell ref="F25:G25"/>
    <mergeCell ref="H25:I25"/>
    <mergeCell ref="K25:L25"/>
    <mergeCell ref="F20:G20"/>
    <mergeCell ref="H20:I20"/>
    <mergeCell ref="K20:L20"/>
    <mergeCell ref="F21:G21"/>
    <mergeCell ref="H21:I21"/>
    <mergeCell ref="K21:L21"/>
    <mergeCell ref="F22:G22"/>
    <mergeCell ref="H22:I22"/>
    <mergeCell ref="K22:L22"/>
    <mergeCell ref="F23:G23"/>
    <mergeCell ref="H23:I23"/>
    <mergeCell ref="K23:L23"/>
  </mergeCells>
  <hyperlinks>
    <hyperlink ref="O4:T4" location="'END OF MONTH REPORT'!A1" display="PROFIT AND LOSS STATEMENT" xr:uid="{4A95EC91-57A5-4B95-BDFA-0D2132D5A321}"/>
    <hyperlink ref="O5:T5" location="'Sunday Service'!A1" display="SUNDAY SERVICE" xr:uid="{534ED586-F580-4CF0-A5AE-989832C9B9D1}"/>
    <hyperlink ref="E4:F4" location="'END OF MONTH REPORT'!A1" display="EXPENSES" xr:uid="{A3403369-FA6D-4D81-9880-8D1DCA45F24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4AFF-6076-4413-81DB-C4EC3CC756A5}">
  <sheetPr codeName="Sheet6">
    <tabColor rgb="FFFFFF00"/>
  </sheetPr>
  <dimension ref="B3:AE26"/>
  <sheetViews>
    <sheetView tabSelected="1" workbookViewId="0">
      <selection activeCell="C4" sqref="C4:H4"/>
    </sheetView>
  </sheetViews>
  <sheetFormatPr defaultRowHeight="15" x14ac:dyDescent="0.25"/>
  <cols>
    <col min="9" max="9" width="9.140625" customWidth="1"/>
    <col min="11" max="11" width="13.85546875" customWidth="1"/>
    <col min="12" max="12" width="7.42578125" customWidth="1"/>
    <col min="13" max="13" width="11.85546875" customWidth="1"/>
    <col min="14" max="14" width="9.140625" customWidth="1"/>
    <col min="15" max="15" width="18.28515625" customWidth="1"/>
    <col min="16" max="16" width="1.5703125" customWidth="1"/>
    <col min="18" max="18" width="8.85546875" customWidth="1"/>
    <col min="20" max="20" width="7.42578125" customWidth="1"/>
    <col min="22" max="22" width="5.7109375" customWidth="1"/>
    <col min="23" max="23" width="9.140625" customWidth="1"/>
    <col min="24" max="24" width="4" customWidth="1"/>
  </cols>
  <sheetData>
    <row r="3" spans="2:31" ht="18.75" x14ac:dyDescent="0.3">
      <c r="C3" s="61" t="s">
        <v>33</v>
      </c>
      <c r="D3" s="53"/>
      <c r="E3" s="53"/>
      <c r="F3" s="53"/>
      <c r="G3" s="53"/>
      <c r="H3" s="53"/>
      <c r="K3" s="52" t="s">
        <v>24</v>
      </c>
      <c r="L3" s="52"/>
      <c r="M3" s="52"/>
      <c r="N3" s="52"/>
      <c r="O3" s="52"/>
      <c r="P3" s="52"/>
      <c r="S3" s="91" t="s">
        <v>33</v>
      </c>
      <c r="T3" s="92"/>
      <c r="U3" s="92"/>
      <c r="V3" s="92"/>
      <c r="W3" s="92"/>
      <c r="X3" s="93"/>
      <c r="Y3" s="25"/>
      <c r="Z3" s="85" t="s">
        <v>48</v>
      </c>
      <c r="AA3" s="85"/>
      <c r="AB3" s="85"/>
      <c r="AC3" s="85"/>
      <c r="AD3" s="85"/>
      <c r="AE3" s="85"/>
    </row>
    <row r="4" spans="2:31" x14ac:dyDescent="0.25">
      <c r="C4" s="82" t="s">
        <v>30</v>
      </c>
      <c r="D4" s="83"/>
      <c r="E4" s="83"/>
      <c r="F4" s="83"/>
      <c r="G4" s="83"/>
      <c r="H4" s="84"/>
      <c r="K4" s="89" t="s">
        <v>25</v>
      </c>
      <c r="L4" s="30"/>
      <c r="M4" s="30"/>
      <c r="N4" s="30"/>
      <c r="O4" s="30"/>
      <c r="P4" s="90"/>
      <c r="S4" s="85" t="s">
        <v>34</v>
      </c>
      <c r="T4" s="85"/>
      <c r="U4" s="85"/>
      <c r="V4" s="85"/>
      <c r="W4" s="85"/>
      <c r="X4" s="85"/>
      <c r="Y4" s="7"/>
      <c r="Z4" s="53" t="s">
        <v>34</v>
      </c>
      <c r="AA4" s="53"/>
      <c r="AB4" s="53" t="s">
        <v>35</v>
      </c>
      <c r="AC4" s="53"/>
      <c r="AD4" s="53" t="s">
        <v>49</v>
      </c>
      <c r="AE4" s="53"/>
    </row>
    <row r="5" spans="2:31" x14ac:dyDescent="0.25">
      <c r="B5" s="2" t="s">
        <v>2</v>
      </c>
      <c r="C5" s="57" t="s">
        <v>36</v>
      </c>
      <c r="D5" s="58"/>
      <c r="E5" s="57" t="s">
        <v>3</v>
      </c>
      <c r="F5" s="58"/>
      <c r="G5" s="57" t="s">
        <v>41</v>
      </c>
      <c r="H5" s="58"/>
      <c r="J5" s="2" t="s">
        <v>2</v>
      </c>
      <c r="K5" s="57" t="s">
        <v>36</v>
      </c>
      <c r="L5" s="58"/>
      <c r="M5" s="57" t="s">
        <v>3</v>
      </c>
      <c r="N5" s="58"/>
      <c r="O5" s="57" t="s">
        <v>41</v>
      </c>
      <c r="P5" s="58"/>
      <c r="R5" s="2" t="s">
        <v>2</v>
      </c>
      <c r="S5" s="57" t="s">
        <v>36</v>
      </c>
      <c r="T5" s="58"/>
      <c r="U5" s="57" t="s">
        <v>3</v>
      </c>
      <c r="V5" s="58"/>
      <c r="W5" s="57" t="s">
        <v>41</v>
      </c>
      <c r="X5" s="58"/>
      <c r="Y5" s="26"/>
      <c r="Z5" s="53">
        <v>3000</v>
      </c>
      <c r="AA5" s="53"/>
      <c r="AB5" s="53">
        <v>684</v>
      </c>
      <c r="AC5" s="53"/>
      <c r="AD5" s="53">
        <v>1658</v>
      </c>
      <c r="AE5" s="53"/>
    </row>
    <row r="6" spans="2:31" x14ac:dyDescent="0.25">
      <c r="B6" s="19">
        <v>45809</v>
      </c>
      <c r="C6" s="33">
        <v>4763</v>
      </c>
      <c r="D6" s="35"/>
      <c r="E6" s="33">
        <v>3225</v>
      </c>
      <c r="F6" s="35"/>
      <c r="G6" s="33">
        <f t="shared" ref="G6:G10" si="0">C6-E6</f>
        <v>1538</v>
      </c>
      <c r="H6" s="35"/>
      <c r="J6" s="19">
        <v>45813</v>
      </c>
      <c r="K6" s="33">
        <v>192</v>
      </c>
      <c r="L6" s="35"/>
      <c r="M6" s="33">
        <v>100</v>
      </c>
      <c r="N6" s="35"/>
      <c r="O6" s="33">
        <f>K6-M6</f>
        <v>92</v>
      </c>
      <c r="P6" s="35"/>
      <c r="R6" s="19">
        <v>45809</v>
      </c>
      <c r="S6" s="33">
        <v>300</v>
      </c>
      <c r="T6" s="35"/>
      <c r="U6" s="33"/>
      <c r="V6" s="35"/>
      <c r="W6" s="33">
        <f>S6-U6</f>
        <v>300</v>
      </c>
      <c r="X6" s="35"/>
      <c r="Y6" s="7"/>
    </row>
    <row r="7" spans="2:31" x14ac:dyDescent="0.25">
      <c r="B7" s="19">
        <v>45816</v>
      </c>
      <c r="C7" s="33">
        <v>2832</v>
      </c>
      <c r="D7" s="35"/>
      <c r="E7" s="33">
        <v>3300</v>
      </c>
      <c r="F7" s="35"/>
      <c r="G7" s="87">
        <f t="shared" si="0"/>
        <v>-468</v>
      </c>
      <c r="H7" s="88"/>
      <c r="J7" s="19">
        <v>45820</v>
      </c>
      <c r="K7" s="33">
        <v>202</v>
      </c>
      <c r="L7" s="35"/>
      <c r="M7" s="33">
        <v>100</v>
      </c>
      <c r="N7" s="35"/>
      <c r="O7" s="33">
        <f t="shared" ref="O7:O9" si="1">K7-M7</f>
        <v>102</v>
      </c>
      <c r="P7" s="35"/>
      <c r="R7" s="19">
        <v>45816</v>
      </c>
      <c r="S7" s="33">
        <v>500</v>
      </c>
      <c r="T7" s="35"/>
      <c r="U7" s="33"/>
      <c r="V7" s="35"/>
      <c r="W7" s="33">
        <f t="shared" ref="W7:W10" si="2">S7-U7</f>
        <v>500</v>
      </c>
      <c r="X7" s="35"/>
      <c r="Y7" s="7"/>
      <c r="AB7" s="52" t="s">
        <v>1</v>
      </c>
      <c r="AC7" s="52"/>
      <c r="AD7" s="52">
        <f>SUM(Z5:AE5)</f>
        <v>5342</v>
      </c>
      <c r="AE7" s="52"/>
    </row>
    <row r="8" spans="2:31" x14ac:dyDescent="0.25">
      <c r="B8" s="19">
        <v>45823</v>
      </c>
      <c r="C8" s="33">
        <v>9376</v>
      </c>
      <c r="D8" s="35"/>
      <c r="E8" s="80">
        <v>7218</v>
      </c>
      <c r="F8" s="81"/>
      <c r="G8" s="33">
        <f t="shared" si="0"/>
        <v>2158</v>
      </c>
      <c r="H8" s="35"/>
      <c r="J8" s="19">
        <v>45827</v>
      </c>
      <c r="K8" s="33">
        <v>282</v>
      </c>
      <c r="L8" s="35"/>
      <c r="M8" s="33">
        <v>100</v>
      </c>
      <c r="N8" s="35"/>
      <c r="O8" s="33">
        <f t="shared" si="1"/>
        <v>182</v>
      </c>
      <c r="P8" s="35"/>
      <c r="R8" s="19">
        <v>45823</v>
      </c>
      <c r="S8" s="33">
        <v>1600</v>
      </c>
      <c r="T8" s="35"/>
      <c r="U8" s="33"/>
      <c r="V8" s="35"/>
      <c r="W8" s="33">
        <f t="shared" si="2"/>
        <v>1600</v>
      </c>
      <c r="X8" s="35"/>
      <c r="Y8" s="7"/>
    </row>
    <row r="9" spans="2:31" ht="15.75" x14ac:dyDescent="0.25">
      <c r="B9" s="19">
        <v>45830</v>
      </c>
      <c r="C9" s="53">
        <v>2943</v>
      </c>
      <c r="D9" s="53"/>
      <c r="E9" s="53">
        <v>3438</v>
      </c>
      <c r="F9" s="53"/>
      <c r="G9" s="87">
        <f>C9-E9</f>
        <v>-495</v>
      </c>
      <c r="H9" s="88"/>
      <c r="J9" s="19">
        <v>45834</v>
      </c>
      <c r="K9" s="33">
        <v>284</v>
      </c>
      <c r="L9" s="35"/>
      <c r="M9" s="33">
        <v>200</v>
      </c>
      <c r="N9" s="35"/>
      <c r="O9" s="33">
        <f t="shared" si="1"/>
        <v>84</v>
      </c>
      <c r="P9" s="35"/>
      <c r="R9" s="19">
        <v>45830</v>
      </c>
      <c r="S9" s="33">
        <v>1000</v>
      </c>
      <c r="T9" s="35"/>
      <c r="U9" s="33"/>
      <c r="V9" s="35"/>
      <c r="W9" s="33">
        <f t="shared" si="2"/>
        <v>1000</v>
      </c>
      <c r="X9" s="35"/>
      <c r="Y9" s="7"/>
      <c r="Z9" s="102"/>
      <c r="AA9" s="102"/>
    </row>
    <row r="10" spans="2:31" ht="15.75" x14ac:dyDescent="0.25">
      <c r="B10" s="19">
        <v>45837</v>
      </c>
      <c r="C10" s="33">
        <v>8591</v>
      </c>
      <c r="D10" s="35"/>
      <c r="E10" s="33">
        <v>7800</v>
      </c>
      <c r="F10" s="35"/>
      <c r="G10" s="33">
        <f t="shared" si="0"/>
        <v>791</v>
      </c>
      <c r="H10" s="35"/>
      <c r="O10" s="1"/>
      <c r="R10" s="19">
        <v>45837</v>
      </c>
      <c r="S10" s="53"/>
      <c r="T10" s="53"/>
      <c r="U10" s="53"/>
      <c r="V10" s="53"/>
      <c r="W10" s="33">
        <f t="shared" si="2"/>
        <v>0</v>
      </c>
      <c r="X10" s="35"/>
      <c r="Y10" s="7"/>
      <c r="Z10" s="61" t="s">
        <v>41</v>
      </c>
      <c r="AA10" s="61"/>
    </row>
    <row r="11" spans="2:31" ht="15.75" x14ac:dyDescent="0.25">
      <c r="B11" s="2" t="s">
        <v>1</v>
      </c>
      <c r="C11" s="39">
        <f>SUM(C6:C10)</f>
        <v>28505</v>
      </c>
      <c r="D11" s="41"/>
      <c r="E11" s="39">
        <f>SUM(E6:E10)</f>
        <v>24981</v>
      </c>
      <c r="F11" s="41"/>
      <c r="G11" s="63">
        <f>SUM(G6:G10)</f>
        <v>3524</v>
      </c>
      <c r="H11" s="65"/>
      <c r="J11" s="2" t="s">
        <v>1</v>
      </c>
      <c r="K11" s="33">
        <f>SUM(K6:L9)</f>
        <v>960</v>
      </c>
      <c r="L11" s="35"/>
      <c r="M11" s="33">
        <f>SUM(M6:N9)</f>
        <v>500</v>
      </c>
      <c r="N11" s="35"/>
      <c r="O11" s="50">
        <f>SUM(O6:P10)</f>
        <v>460</v>
      </c>
      <c r="P11" s="51"/>
      <c r="R11" s="2" t="s">
        <v>1</v>
      </c>
      <c r="S11" s="33">
        <f>SUM(S6:T9)</f>
        <v>3400</v>
      </c>
      <c r="T11" s="35"/>
      <c r="U11" s="33">
        <f>SUM(U6:V9)</f>
        <v>0</v>
      </c>
      <c r="V11" s="35"/>
      <c r="W11" s="50">
        <f>SUM(W6:X10)</f>
        <v>3400</v>
      </c>
      <c r="X11" s="51"/>
      <c r="Y11" s="13"/>
      <c r="Z11" s="61">
        <f>SUM(G11,O11,W11,AD7)</f>
        <v>12726</v>
      </c>
      <c r="AA11" s="61"/>
    </row>
    <row r="15" spans="2:31" ht="13.5" customHeight="1" x14ac:dyDescent="0.25"/>
    <row r="16" spans="2:31" ht="20.25" customHeight="1" x14ac:dyDescent="0.4">
      <c r="I16" s="24"/>
      <c r="K16" s="61" t="s">
        <v>64</v>
      </c>
      <c r="L16" s="94"/>
      <c r="M16" s="61" t="s">
        <v>1</v>
      </c>
      <c r="N16" s="94"/>
    </row>
    <row r="17" spans="10:19" hidden="1" x14ac:dyDescent="0.25">
      <c r="K17" s="33"/>
      <c r="L17" s="35"/>
      <c r="M17" s="53"/>
      <c r="N17" s="53"/>
    </row>
    <row r="18" spans="10:19" ht="20.25" customHeight="1" x14ac:dyDescent="0.25">
      <c r="K18" s="82"/>
      <c r="L18" s="84"/>
      <c r="M18" s="53">
        <v>20142</v>
      </c>
      <c r="N18" s="53"/>
    </row>
    <row r="19" spans="10:19" x14ac:dyDescent="0.25">
      <c r="K19" s="52" t="s">
        <v>1</v>
      </c>
      <c r="L19" s="53"/>
      <c r="M19" s="52">
        <f>SUM(M17:N18)</f>
        <v>20142</v>
      </c>
      <c r="N19" s="52"/>
    </row>
    <row r="21" spans="10:19" ht="28.5" x14ac:dyDescent="0.45">
      <c r="J21" s="99" t="s">
        <v>50</v>
      </c>
      <c r="K21" s="100"/>
      <c r="L21" s="100"/>
      <c r="M21" s="100"/>
      <c r="N21" s="100"/>
      <c r="O21" s="101"/>
    </row>
    <row r="22" spans="10:19" ht="24" x14ac:dyDescent="0.4">
      <c r="J22" s="97" t="s">
        <v>36</v>
      </c>
      <c r="K22" s="98"/>
      <c r="L22" s="97" t="s">
        <v>3</v>
      </c>
      <c r="M22" s="98"/>
      <c r="N22" s="97" t="s">
        <v>41</v>
      </c>
      <c r="O22" s="98"/>
    </row>
    <row r="23" spans="10:19" x14ac:dyDescent="0.25">
      <c r="J23" s="95">
        <f>SUM(C11,K11,S11,AD7)</f>
        <v>38207</v>
      </c>
      <c r="K23" s="95"/>
      <c r="L23" s="95">
        <f>SUM(E11,M11,U11,M18)</f>
        <v>45623</v>
      </c>
      <c r="M23" s="95"/>
      <c r="N23" s="96">
        <f>J23-L23</f>
        <v>-7416</v>
      </c>
      <c r="O23" s="86"/>
    </row>
    <row r="24" spans="10:19" x14ac:dyDescent="0.25">
      <c r="J24" s="95"/>
      <c r="K24" s="95"/>
      <c r="L24" s="95"/>
      <c r="M24" s="95"/>
      <c r="N24" s="96"/>
      <c r="O24" s="86"/>
    </row>
    <row r="26" spans="10:19" x14ac:dyDescent="0.25">
      <c r="S26" s="16"/>
    </row>
  </sheetData>
  <sheetProtection algorithmName="SHA-512" hashValue="YYXUJV+gf9NGDWoPnk98jSAVTkV1Ess7DseJqb9I+ESO0ImoCQ9sOYoC3Wz3XmYf0T1L96ssiFHsAgw25owtfQ==" saltValue="jaN161nSgzy0PmyGkJRA7A==" spinCount="100000" sheet="1" objects="1" scenarios="1"/>
  <dataConsolidate/>
  <mergeCells count="93">
    <mergeCell ref="K9:L9"/>
    <mergeCell ref="M9:N9"/>
    <mergeCell ref="O9:P9"/>
    <mergeCell ref="K11:L11"/>
    <mergeCell ref="M11:N11"/>
    <mergeCell ref="Z11:AA11"/>
    <mergeCell ref="Z10:AA10"/>
    <mergeCell ref="O11:P11"/>
    <mergeCell ref="W11:X11"/>
    <mergeCell ref="S10:T10"/>
    <mergeCell ref="U10:V10"/>
    <mergeCell ref="W10:X10"/>
    <mergeCell ref="J21:O21"/>
    <mergeCell ref="K18:L18"/>
    <mergeCell ref="K19:L19"/>
    <mergeCell ref="M19:N19"/>
    <mergeCell ref="Z3:AE3"/>
    <mergeCell ref="Z4:AA4"/>
    <mergeCell ref="AB4:AC4"/>
    <mergeCell ref="AD4:AE4"/>
    <mergeCell ref="Z5:AA5"/>
    <mergeCell ref="AB5:AC5"/>
    <mergeCell ref="AD5:AE5"/>
    <mergeCell ref="AB7:AC7"/>
    <mergeCell ref="AD7:AE7"/>
    <mergeCell ref="K17:L17"/>
    <mergeCell ref="Z9:AA9"/>
    <mergeCell ref="K16:L16"/>
    <mergeCell ref="J23:K24"/>
    <mergeCell ref="L23:M24"/>
    <mergeCell ref="N23:O24"/>
    <mergeCell ref="J22:K22"/>
    <mergeCell ref="L22:M22"/>
    <mergeCell ref="N22:O22"/>
    <mergeCell ref="W9:X9"/>
    <mergeCell ref="M17:N17"/>
    <mergeCell ref="M18:N18"/>
    <mergeCell ref="S9:T9"/>
    <mergeCell ref="U9:V9"/>
    <mergeCell ref="M16:N16"/>
    <mergeCell ref="S11:T11"/>
    <mergeCell ref="U11:V11"/>
    <mergeCell ref="S3:X3"/>
    <mergeCell ref="S4:X4"/>
    <mergeCell ref="U5:V5"/>
    <mergeCell ref="S6:T6"/>
    <mergeCell ref="U6:V6"/>
    <mergeCell ref="W6:X6"/>
    <mergeCell ref="S5:T5"/>
    <mergeCell ref="W5:X5"/>
    <mergeCell ref="S7:T7"/>
    <mergeCell ref="U7:V7"/>
    <mergeCell ref="W7:X7"/>
    <mergeCell ref="S8:T8"/>
    <mergeCell ref="U8:V8"/>
    <mergeCell ref="W8:X8"/>
    <mergeCell ref="K3:P3"/>
    <mergeCell ref="K4:P4"/>
    <mergeCell ref="M5:N5"/>
    <mergeCell ref="K6:L6"/>
    <mergeCell ref="M6:N6"/>
    <mergeCell ref="O6:P6"/>
    <mergeCell ref="K5:L5"/>
    <mergeCell ref="O5:P5"/>
    <mergeCell ref="K7:L7"/>
    <mergeCell ref="M7:N7"/>
    <mergeCell ref="O7:P7"/>
    <mergeCell ref="K8:L8"/>
    <mergeCell ref="M8:N8"/>
    <mergeCell ref="O8:P8"/>
    <mergeCell ref="C8:D8"/>
    <mergeCell ref="E8:F8"/>
    <mergeCell ref="G8:H8"/>
    <mergeCell ref="C9:D9"/>
    <mergeCell ref="E9:F9"/>
    <mergeCell ref="G9:H9"/>
    <mergeCell ref="C10:D10"/>
    <mergeCell ref="E10:F10"/>
    <mergeCell ref="G10:H10"/>
    <mergeCell ref="C11:D11"/>
    <mergeCell ref="E11:F11"/>
    <mergeCell ref="G11:H11"/>
    <mergeCell ref="C7:D7"/>
    <mergeCell ref="E7:F7"/>
    <mergeCell ref="G7:H7"/>
    <mergeCell ref="C3:H3"/>
    <mergeCell ref="C4:H4"/>
    <mergeCell ref="C6:D6"/>
    <mergeCell ref="E6:F6"/>
    <mergeCell ref="G6:H6"/>
    <mergeCell ref="C5:D5"/>
    <mergeCell ref="E5:F5"/>
    <mergeCell ref="G5:H5"/>
  </mergeCells>
  <hyperlinks>
    <hyperlink ref="C4:H4" location="'Sunday Service Expenses'!A1" display="SUNDAY SERVICE" xr:uid="{14A78FA0-4571-40EE-87A1-F55F700122D9}"/>
    <hyperlink ref="K4:P4" location="'Mid-Week Service'!A1" display="MID-WEEK SERVICE" xr:uid="{A8790FCB-80B3-4E36-8E67-D4713A74F085}"/>
    <hyperlink ref="S4:X4" location="Pledge!A1" display="PLEDGE" xr:uid="{FB230523-EF02-4788-B44F-1AEA8705D2E0}"/>
    <hyperlink ref="Z3:AE3" location="'Balance Forwarded'!A1" display="MAY FORWARDED BALANCE" xr:uid="{FB598716-C1CF-4D06-9F5F-C4A622818868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D4AB2-F1D2-4CBC-8A2D-629B886660D5}">
  <sheetPr codeName="Sheet7">
    <tabColor rgb="FFC00000"/>
  </sheetPr>
  <dimension ref="F7:O11"/>
  <sheetViews>
    <sheetView topLeftCell="B1" workbookViewId="0">
      <selection activeCell="L9" sqref="L9:O9"/>
    </sheetView>
  </sheetViews>
  <sheetFormatPr defaultRowHeight="15" x14ac:dyDescent="0.25"/>
  <cols>
    <col min="5" max="5" width="5.7109375" customWidth="1"/>
    <col min="9" max="9" width="11.42578125" customWidth="1"/>
  </cols>
  <sheetData>
    <row r="7" spans="6:15" x14ac:dyDescent="0.25">
      <c r="F7" s="52" t="s">
        <v>51</v>
      </c>
      <c r="G7" s="52"/>
      <c r="H7" s="52"/>
      <c r="I7" s="52"/>
    </row>
    <row r="8" spans="6:15" x14ac:dyDescent="0.25">
      <c r="F8" s="53" t="s">
        <v>52</v>
      </c>
      <c r="G8" s="53"/>
      <c r="H8" s="53"/>
      <c r="I8" s="27">
        <v>5122</v>
      </c>
    </row>
    <row r="9" spans="6:15" x14ac:dyDescent="0.25">
      <c r="F9" s="53" t="s">
        <v>53</v>
      </c>
      <c r="G9" s="53"/>
      <c r="H9" s="53"/>
      <c r="I9" s="27">
        <v>1145</v>
      </c>
      <c r="J9" s="28"/>
      <c r="K9" s="28"/>
      <c r="L9" s="32" t="s">
        <v>56</v>
      </c>
      <c r="M9" s="32"/>
      <c r="N9" s="32"/>
      <c r="O9" s="32"/>
    </row>
    <row r="10" spans="6:15" x14ac:dyDescent="0.25">
      <c r="F10" s="53" t="s">
        <v>54</v>
      </c>
      <c r="G10" s="53"/>
      <c r="H10" s="53"/>
      <c r="I10" s="27">
        <v>13875</v>
      </c>
    </row>
    <row r="11" spans="6:15" ht="15.75" x14ac:dyDescent="0.25">
      <c r="H11" s="5" t="s">
        <v>1</v>
      </c>
      <c r="I11" s="29">
        <f>SUM(I8:I10)</f>
        <v>20142</v>
      </c>
    </row>
  </sheetData>
  <sheetProtection algorithmName="SHA-512" hashValue="zJV0h6KO9ewAgI6FA+A6QzjagRSAphseWHcsrcZupSgTJMWp1pXz6fmIx744LJ12Sd+6yT181SnjmK7mO6GVPg==" saltValue="zRQyQcGKXhm6zK7OguvPRw==" spinCount="100000" sheet="1" objects="1" scenarios="1"/>
  <mergeCells count="5">
    <mergeCell ref="F7:I7"/>
    <mergeCell ref="F8:H8"/>
    <mergeCell ref="F9:H9"/>
    <mergeCell ref="F10:H10"/>
    <mergeCell ref="L9:O9"/>
  </mergeCells>
  <hyperlinks>
    <hyperlink ref="L9:O9" location="'END OF MONTH REPORT'!A1" display="GO BACK TO END OF MONTH REPORT" xr:uid="{3B98E0F8-7026-4D52-AB1D-B1864A0B389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Balance Forwarded</vt:lpstr>
      <vt:lpstr>Pledge</vt:lpstr>
      <vt:lpstr>Mid-Week Service</vt:lpstr>
      <vt:lpstr>Sunday Service</vt:lpstr>
      <vt:lpstr>Sunday Service Expenses</vt:lpstr>
      <vt:lpstr>END OF MONTH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OHCC LINGUNAN</dc:creator>
  <cp:lastModifiedBy>Ralph Ryan Lizada</cp:lastModifiedBy>
  <dcterms:created xsi:type="dcterms:W3CDTF">2025-02-07T12:48:10Z</dcterms:created>
  <dcterms:modified xsi:type="dcterms:W3CDTF">2025-06-30T00:07:30Z</dcterms:modified>
</cp:coreProperties>
</file>